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B04914E-DF6B-40CF-B8CE-BE6EC1269D41}" xr6:coauthVersionLast="47" xr6:coauthVersionMax="47" xr10:uidLastSave="{00000000-0000-0000-0000-000000000000}"/>
  <bookViews>
    <workbookView xWindow="-108" yWindow="-108" windowWidth="23256" windowHeight="12456" activeTab="3" xr2:uid="{3F0D2BF4-0BDF-4C6A-A190-3808A107095F}"/>
  </bookViews>
  <sheets>
    <sheet name="Row_Data" sheetId="1" r:id="rId1"/>
    <sheet name="KPI_Calculation" sheetId="2" r:id="rId2"/>
    <sheet name="Pivot_Analysis" sheetId="3" r:id="rId3"/>
    <sheet name="Dashboard" sheetId="4" r:id="rId4"/>
  </sheets>
  <definedNames>
    <definedName name="Slicer_Payment_Mode">#N/A</definedName>
    <definedName name="Slicer_Product_Catagory">#N/A</definedName>
    <definedName name="Slicer_Region">#N/A</definedName>
    <definedName name="Slicer_Store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2" l="1"/>
  <c r="B4" i="2"/>
  <c r="B5" i="2"/>
  <c r="B6"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B3" i="2" s="1"/>
</calcChain>
</file>

<file path=xl/sharedStrings.xml><?xml version="1.0" encoding="utf-8"?>
<sst xmlns="http://schemas.openxmlformats.org/spreadsheetml/2006/main" count="646" uniqueCount="45">
  <si>
    <t>Order_ID</t>
  </si>
  <si>
    <t>Order_Date</t>
  </si>
  <si>
    <t>Store_Name</t>
  </si>
  <si>
    <t>Product_Name</t>
  </si>
  <si>
    <t>Sales</t>
  </si>
  <si>
    <t>Cost</t>
  </si>
  <si>
    <t>Profit</t>
  </si>
  <si>
    <t>Mobile</t>
  </si>
  <si>
    <t>Shoes</t>
  </si>
  <si>
    <t>Jeans</t>
  </si>
  <si>
    <t>Headphones</t>
  </si>
  <si>
    <t>Wheat</t>
  </si>
  <si>
    <t>Electronics</t>
  </si>
  <si>
    <t>Grocery</t>
  </si>
  <si>
    <t>Fashion</t>
  </si>
  <si>
    <t>Region</t>
  </si>
  <si>
    <t>Product_Catagory</t>
  </si>
  <si>
    <t>Quantity</t>
  </si>
  <si>
    <t>Payment_Mode</t>
  </si>
  <si>
    <t>Customer_Gender</t>
  </si>
  <si>
    <t>Store  A</t>
  </si>
  <si>
    <t>Store  B</t>
  </si>
  <si>
    <t>Store  C</t>
  </si>
  <si>
    <t>Store  D</t>
  </si>
  <si>
    <t>North</t>
  </si>
  <si>
    <t>South</t>
  </si>
  <si>
    <t>East</t>
  </si>
  <si>
    <t>West</t>
  </si>
  <si>
    <t>Male</t>
  </si>
  <si>
    <t>Female</t>
  </si>
  <si>
    <t>Cash</t>
  </si>
  <si>
    <t>Card</t>
  </si>
  <si>
    <t>UPI</t>
  </si>
  <si>
    <t>KPI</t>
  </si>
  <si>
    <t>Formula</t>
  </si>
  <si>
    <t>Totle Sales</t>
  </si>
  <si>
    <t>Totle Quantity</t>
  </si>
  <si>
    <t>Totle Orders</t>
  </si>
  <si>
    <t>Totle Profit</t>
  </si>
  <si>
    <t>Average Order Value</t>
  </si>
  <si>
    <t>Row Labels</t>
  </si>
  <si>
    <t>Grand Total</t>
  </si>
  <si>
    <t>Sum of Sales</t>
  </si>
  <si>
    <t>Sum of Profit</t>
  </si>
  <si>
    <t>Retail Store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</si>
</sst>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4" x14ac:knownFonts="1">
    <font>
      <sz val="11"/>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3" fillId="0" borderId="0" xfId="0" applyFont="1" applyAlignment="1">
      <alignment horizontal="center"/>
    </xf>
    <xf numFmtId="164" fontId="0" fillId="0" borderId="0" xfId="0" applyNumberFormat="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7">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font>
        <b/>
        <i val="0"/>
        <strike val="0"/>
        <condense val="0"/>
        <extend val="0"/>
        <outline val="0"/>
        <shadow val="0"/>
        <u val="none"/>
        <vertAlign val="baseline"/>
        <sz val="16"/>
        <color theme="1"/>
        <name val="Calibri"/>
        <family val="2"/>
        <scheme val="minor"/>
      </font>
    </dxf>
    <dxf>
      <numFmt numFmtId="19" formatCode="dd/mm/yyyy"/>
    </dxf>
    <dxf>
      <font>
        <b/>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[Retail_Store_performance_Dashboard.xlsx]Pivot_Analysis!PivotTable1</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Pivot_Analysis!$B$1</c:f>
              <c:strCache>
                <c:ptCount val="1"/>
                <c:pt idx="0">
                  <c:v>Total</c:v>
                </c:pt>
              </c:strCache>
            </c:strRef>
          </c:tx>
          <c:spPr>
            <a:solidFill>
              <a:schemeClr val="accent1"/>
            </a:solidFill>
            <a:ln>
              <a:noFill/>
            </a:ln>
            <a:effectLst/>
            <a:sp3d/>
          </c:spPr>
          <c:invertIfNegative val="0"/>
          <c:cat>
            <c:strRef>
              <c:f>Pivot_Analysis!$A$2:$A$6</c:f>
              <c:strCache>
                <c:ptCount val="4"/>
                <c:pt idx="0">
                  <c:v>East</c:v>
                </c:pt>
                <c:pt idx="1">
                  <c:v>North</c:v>
                </c:pt>
                <c:pt idx="2">
                  <c:v>South</c:v>
                </c:pt>
                <c:pt idx="3">
                  <c:v>West</c:v>
                </c:pt>
              </c:strCache>
            </c:strRef>
          </c:cat>
          <c:val>
            <c:numRef>
              <c:f>Pivot_Analysis!$B$2:$B$6</c:f>
              <c:numCache>
                <c:formatCode>_ [$₹-4009]\ * #,##0.00_ ;_ [$₹-4009]\ * \-#,##0.00_ ;_ [$₹-4009]\ * "-"??_ ;_ @_ </c:formatCode>
                <c:ptCount val="4"/>
                <c:pt idx="0">
                  <c:v>7262449.9999999972</c:v>
                </c:pt>
                <c:pt idx="1">
                  <c:v>6939064.2857142827</c:v>
                </c:pt>
                <c:pt idx="2">
                  <c:v>7093657.1428571399</c:v>
                </c:pt>
                <c:pt idx="3">
                  <c:v>7377685.7142857118</c:v>
                </c:pt>
              </c:numCache>
            </c:numRef>
          </c:val>
          <c:extLst>
            <c:ext xmlns:c16="http://schemas.microsoft.com/office/drawing/2014/chart" uri="{C3380CC4-5D6E-409C-BE32-E72D297353CC}">
              <c16:uniqueId val="{00000000-CAA7-4AFD-9D81-C50497942CB7}"/>
            </c:ext>
          </c:extLst>
        </c:ser>
        <c:dLbls>
          <c:showLegendKey val="0"/>
          <c:showVal val="0"/>
          <c:showCatName val="0"/>
          <c:showSerName val="0"/>
          <c:showPercent val="0"/>
          <c:showBubbleSize val="0"/>
        </c:dLbls>
        <c:gapWidth val="219"/>
        <c:shape val="box"/>
        <c:axId val="1047435408"/>
        <c:axId val="1047435888"/>
        <c:axId val="0"/>
      </c:bar3DChart>
      <c:catAx>
        <c:axId val="104743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35888"/>
        <c:crosses val="autoZero"/>
        <c:auto val="1"/>
        <c:lblAlgn val="ctr"/>
        <c:lblOffset val="100"/>
        <c:noMultiLvlLbl val="0"/>
      </c:catAx>
      <c:valAx>
        <c:axId val="10474358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[Retail_Store_performance_Dashboard.xlsx]Pivot_Analysis!PivotTable5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81E-4A4F-BF9A-7BA109B021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1E-4A4F-BF9A-7BA109B021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81E-4A4F-BF9A-7BA109B021F5}"/>
              </c:ext>
            </c:extLst>
          </c:dPt>
          <c:cat>
            <c:strRef>
              <c:f>Pivot_Analysis!$A$16:$A$19</c:f>
              <c:strCache>
                <c:ptCount val="3"/>
                <c:pt idx="0">
                  <c:v>Electronics</c:v>
                </c:pt>
                <c:pt idx="1">
                  <c:v>Fashion</c:v>
                </c:pt>
                <c:pt idx="2">
                  <c:v>Grocery</c:v>
                </c:pt>
              </c:strCache>
            </c:strRef>
          </c:cat>
          <c:val>
            <c:numRef>
              <c:f>Pivot_Analysis!$B$16:$B$19</c:f>
              <c:numCache>
                <c:formatCode>_ [$₹-4009]\ * #,##0.00_ ;_ [$₹-4009]\ * \-#,##0.00_ ;_ [$₹-4009]\ * "-"??_ ;_ @_ </c:formatCode>
                <c:ptCount val="3"/>
                <c:pt idx="0">
                  <c:v>9238199.9999999981</c:v>
                </c:pt>
                <c:pt idx="1">
                  <c:v>9501099.9999999944</c:v>
                </c:pt>
                <c:pt idx="2">
                  <c:v>9933557.1428571381</c:v>
                </c:pt>
              </c:numCache>
            </c:numRef>
          </c:val>
          <c:extLst>
            <c:ext xmlns:c16="http://schemas.microsoft.com/office/drawing/2014/chart" uri="{C3380CC4-5D6E-409C-BE32-E72D297353CC}">
              <c16:uniqueId val="{00000006-781E-4A4F-BF9A-7BA109B021F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[Retail_Store_performance_Dashboard.xlsx]Pivot_Analysis!PivotTable4</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Pivot_Analysis!$B$30</c:f>
              <c:strCache>
                <c:ptCount val="1"/>
                <c:pt idx="0">
                  <c:v>Total</c:v>
                </c:pt>
              </c:strCache>
            </c:strRef>
          </c:tx>
          <c:spPr>
            <a:solidFill>
              <a:schemeClr val="accent1"/>
            </a:solidFill>
            <a:ln>
              <a:noFill/>
            </a:ln>
            <a:effectLst/>
            <a:sp3d/>
          </c:spPr>
          <c:invertIfNegative val="0"/>
          <c:cat>
            <c:strRef>
              <c:f>Pivot_Analysis!$A$31:$A$35</c:f>
              <c:strCache>
                <c:ptCount val="4"/>
                <c:pt idx="0">
                  <c:v>Store  A</c:v>
                </c:pt>
                <c:pt idx="1">
                  <c:v>Store  B</c:v>
                </c:pt>
                <c:pt idx="2">
                  <c:v>Store  C</c:v>
                </c:pt>
                <c:pt idx="3">
                  <c:v>Store  D</c:v>
                </c:pt>
              </c:strCache>
            </c:strRef>
          </c:cat>
          <c:val>
            <c:numRef>
              <c:f>Pivot_Analysis!$B$31:$B$35</c:f>
              <c:numCache>
                <c:formatCode>_ [$₹-4009]\ * #,##0.00_ ;_ [$₹-4009]\ * \-#,##0.00_ ;_ [$₹-4009]\ * "-"??_ ;_ @_ </c:formatCode>
                <c:ptCount val="4"/>
                <c:pt idx="0">
                  <c:v>6828104.2857142827</c:v>
                </c:pt>
                <c:pt idx="1">
                  <c:v>6981617.1428571399</c:v>
                </c:pt>
                <c:pt idx="2">
                  <c:v>7147969.9999999972</c:v>
                </c:pt>
                <c:pt idx="3">
                  <c:v>7262665.7142857118</c:v>
                </c:pt>
              </c:numCache>
            </c:numRef>
          </c:val>
          <c:extLst>
            <c:ext xmlns:c16="http://schemas.microsoft.com/office/drawing/2014/chart" uri="{C3380CC4-5D6E-409C-BE32-E72D297353CC}">
              <c16:uniqueId val="{00000000-BEE1-4FA3-92A2-380B24A48094}"/>
            </c:ext>
          </c:extLst>
        </c:ser>
        <c:dLbls>
          <c:showLegendKey val="0"/>
          <c:showVal val="0"/>
          <c:showCatName val="0"/>
          <c:showSerName val="0"/>
          <c:showPercent val="0"/>
          <c:showBubbleSize val="0"/>
        </c:dLbls>
        <c:gapWidth val="150"/>
        <c:shape val="box"/>
        <c:axId val="1146672944"/>
        <c:axId val="1146677264"/>
        <c:axId val="0"/>
      </c:bar3DChart>
      <c:catAx>
        <c:axId val="114667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77264"/>
        <c:crosses val="autoZero"/>
        <c:auto val="1"/>
        <c:lblAlgn val="ctr"/>
        <c:lblOffset val="100"/>
        <c:noMultiLvlLbl val="0"/>
      </c:catAx>
      <c:valAx>
        <c:axId val="11466772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67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[Retail_Store_performance_Dashboard.xlsx]Pivot_Analysis!PivotTable6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Pivot_Analysis!$B$45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37-4B4D-97D4-5D08D3AF88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37-4B4D-97D4-5D08D3AF88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37-4B4D-97D4-5D08D3AF8888}"/>
              </c:ext>
            </c:extLst>
          </c:dPt>
          <c:cat>
            <c:strRef>
              <c:f>Pivot_Analysis!$A$46:$A$49</c:f>
              <c:strCache>
                <c:ptCount val="3"/>
                <c:pt idx="0">
                  <c:v>Card</c:v>
                </c:pt>
                <c:pt idx="1">
                  <c:v>Cash</c:v>
                </c:pt>
                <c:pt idx="2">
                  <c:v>UPI</c:v>
                </c:pt>
              </c:strCache>
            </c:strRef>
          </c:cat>
          <c:val>
            <c:numRef>
              <c:f>Pivot_Analysis!$B$46:$B$49</c:f>
              <c:numCache>
                <c:formatCode>_ [$₹-4009]\ * #,##0.00_ ;_ [$₹-4009]\ * \-#,##0.00_ ;_ [$₹-4009]\ * "-"??_ ;_ @_ </c:formatCode>
                <c:ptCount val="3"/>
                <c:pt idx="0">
                  <c:v>6315192.8571428536</c:v>
                </c:pt>
                <c:pt idx="1">
                  <c:v>12944057.142857138</c:v>
                </c:pt>
                <c:pt idx="2">
                  <c:v>9413607.1428571399</c:v>
                </c:pt>
              </c:numCache>
            </c:numRef>
          </c:val>
          <c:extLst>
            <c:ext xmlns:c16="http://schemas.microsoft.com/office/drawing/2014/chart" uri="{C3380CC4-5D6E-409C-BE32-E72D297353CC}">
              <c16:uniqueId val="{00000006-C837-4B4D-97D4-5D08D3AF88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243840</xdr:rowOff>
    </xdr:from>
    <xdr:to>
      <xdr:col>6</xdr:col>
      <xdr:colOff>68580</xdr:colOff>
      <xdr:row>5</xdr:row>
      <xdr:rowOff>99060</xdr:rowOff>
    </xdr:to>
    <xdr:sp macro="" textlink="">
      <xdr:nvSpPr>
        <xdr:cNvPr id="2" name="Oval 1">
          <a:extLst>
            <a:ext uri="{FF2B5EF4-FFF2-40B4-BE49-F238E27FC236}">
              <a16:creationId xmlns:a16="http://schemas.microsoft.com/office/drawing/2014/main" id="{C4B7EEE5-999D-8C9A-4109-B884FD45D942}"/>
            </a:ext>
          </a:extLst>
        </xdr:cNvPr>
        <xdr:cNvSpPr/>
      </xdr:nvSpPr>
      <xdr:spPr>
        <a:xfrm>
          <a:off x="4251960" y="243840"/>
          <a:ext cx="914400" cy="914400"/>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518160</xdr:colOff>
      <xdr:row>3</xdr:row>
      <xdr:rowOff>114300</xdr:rowOff>
    </xdr:from>
    <xdr:ext cx="1828800" cy="2466975"/>
    <mc:AlternateContent xmlns:mc="http://schemas.openxmlformats.org/markup-compatibility/2006" xmlns:a14="http://schemas.microsoft.com/office/drawing/2010/main">
      <mc:Choice Requires="a14">
        <xdr:graphicFrame macro="">
          <xdr:nvGraphicFramePr>
            <xdr:cNvPr id="2" name="Store_Name">
              <a:extLst>
                <a:ext uri="{FF2B5EF4-FFF2-40B4-BE49-F238E27FC236}">
                  <a16:creationId xmlns:a16="http://schemas.microsoft.com/office/drawing/2014/main" id="{15635E7E-661C-3B04-C12D-FD32F96941CC}"/>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3863340" y="66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99060</xdr:colOff>
      <xdr:row>6</xdr:row>
      <xdr:rowOff>45720</xdr:rowOff>
    </xdr:from>
    <xdr:ext cx="1828800" cy="2466975"/>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A2D56D4-CA6D-803A-2A53-4D990EC598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4340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579120</xdr:colOff>
      <xdr:row>8</xdr:row>
      <xdr:rowOff>160020</xdr:rowOff>
    </xdr:from>
    <xdr:ext cx="1828800" cy="2466975"/>
    <mc:AlternateContent xmlns:mc="http://schemas.openxmlformats.org/markup-compatibility/2006" xmlns:a14="http://schemas.microsoft.com/office/drawing/2010/main">
      <mc:Choice Requires="a14">
        <xdr:graphicFrame macro="">
          <xdr:nvGraphicFramePr>
            <xdr:cNvPr id="6" name="Product_Catagory">
              <a:extLst>
                <a:ext uri="{FF2B5EF4-FFF2-40B4-BE49-F238E27FC236}">
                  <a16:creationId xmlns:a16="http://schemas.microsoft.com/office/drawing/2014/main" id="{F03CB572-84EA-59E6-924E-881F968B6B24}"/>
                </a:ext>
              </a:extLst>
            </xdr:cNvPr>
            <xdr:cNvGraphicFramePr/>
          </xdr:nvGraphicFramePr>
          <xdr:xfrm>
            <a:off x="0" y="0"/>
            <a:ext cx="0" cy="0"/>
          </xdr:xfrm>
          <a:graphic>
            <a:graphicData uri="http://schemas.microsoft.com/office/drawing/2010/slicer">
              <sle:slicer xmlns:sle="http://schemas.microsoft.com/office/drawing/2010/slicer" name="Product_Catagory"/>
            </a:graphicData>
          </a:graphic>
        </xdr:graphicFrame>
      </mc:Choice>
      <mc:Fallback xmlns="">
        <xdr:sp macro="" textlink="">
          <xdr:nvSpPr>
            <xdr:cNvPr id="0" name=""/>
            <xdr:cNvSpPr>
              <a:spLocks noTextEdit="1"/>
            </xdr:cNvSpPr>
          </xdr:nvSpPr>
          <xdr:spPr>
            <a:xfrm>
              <a:off x="482346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228600</xdr:colOff>
      <xdr:row>11</xdr:row>
      <xdr:rowOff>91440</xdr:rowOff>
    </xdr:from>
    <xdr:ext cx="1828800" cy="2466975"/>
    <mc:AlternateContent xmlns:mc="http://schemas.openxmlformats.org/markup-compatibility/2006" xmlns:a14="http://schemas.microsoft.com/office/drawing/2010/main">
      <mc:Choice Requires="a14">
        <xdr:graphicFrame macro="">
          <xdr:nvGraphicFramePr>
            <xdr:cNvPr id="8" name="Payment_Mode">
              <a:extLst>
                <a:ext uri="{FF2B5EF4-FFF2-40B4-BE49-F238E27FC236}">
                  <a16:creationId xmlns:a16="http://schemas.microsoft.com/office/drawing/2014/main" id="{A41BF470-E0B7-A101-1BB5-2B193A92B29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303520" y="2103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7</xdr:col>
      <xdr:colOff>419100</xdr:colOff>
      <xdr:row>21</xdr:row>
      <xdr:rowOff>144780</xdr:rowOff>
    </xdr:from>
    <xdr:to>
      <xdr:col>15</xdr:col>
      <xdr:colOff>236220</xdr:colOff>
      <xdr:row>36</xdr:row>
      <xdr:rowOff>15240</xdr:rowOff>
    </xdr:to>
    <xdr:graphicFrame macro="">
      <xdr:nvGraphicFramePr>
        <xdr:cNvPr id="2" name="Chart 1">
          <a:extLst>
            <a:ext uri="{FF2B5EF4-FFF2-40B4-BE49-F238E27FC236}">
              <a16:creationId xmlns:a16="http://schemas.microsoft.com/office/drawing/2014/main" id="{97D4572E-751D-4C59-8024-9642FE3EB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147286</xdr:rowOff>
    </xdr:from>
    <xdr:to>
      <xdr:col>7</xdr:col>
      <xdr:colOff>426720</xdr:colOff>
      <xdr:row>36</xdr:row>
      <xdr:rowOff>18147</xdr:rowOff>
    </xdr:to>
    <xdr:graphicFrame macro="">
      <xdr:nvGraphicFramePr>
        <xdr:cNvPr id="3" name="Chart 2">
          <a:extLst>
            <a:ext uri="{FF2B5EF4-FFF2-40B4-BE49-F238E27FC236}">
              <a16:creationId xmlns:a16="http://schemas.microsoft.com/office/drawing/2014/main" id="{FB9D1B48-DF6A-4151-B4DE-DEA63A0FE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24113</xdr:rowOff>
    </xdr:from>
    <xdr:to>
      <xdr:col>7</xdr:col>
      <xdr:colOff>426720</xdr:colOff>
      <xdr:row>50</xdr:row>
      <xdr:rowOff>70234</xdr:rowOff>
    </xdr:to>
    <xdr:graphicFrame macro="">
      <xdr:nvGraphicFramePr>
        <xdr:cNvPr id="4" name="Chart 3">
          <a:extLst>
            <a:ext uri="{FF2B5EF4-FFF2-40B4-BE49-F238E27FC236}">
              <a16:creationId xmlns:a16="http://schemas.microsoft.com/office/drawing/2014/main" id="{FF6BA3A2-C0E4-4560-8225-A1F3561D5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434341</xdr:colOff>
      <xdr:row>36</xdr:row>
      <xdr:rowOff>15240</xdr:rowOff>
    </xdr:from>
    <xdr:to>
      <xdr:col>15</xdr:col>
      <xdr:colOff>236221</xdr:colOff>
      <xdr:row>50</xdr:row>
      <xdr:rowOff>68981</xdr:rowOff>
    </xdr:to>
    <xdr:graphicFrame macro="">
      <xdr:nvGraphicFramePr>
        <xdr:cNvPr id="5" name="Chart 4">
          <a:extLst>
            <a:ext uri="{FF2B5EF4-FFF2-40B4-BE49-F238E27FC236}">
              <a16:creationId xmlns:a16="http://schemas.microsoft.com/office/drawing/2014/main" id="{2C168918-2239-42BF-8659-B05020A5B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427402</xdr:colOff>
      <xdr:row>6</xdr:row>
      <xdr:rowOff>0</xdr:rowOff>
    </xdr:from>
    <xdr:to>
      <xdr:col>12</xdr:col>
      <xdr:colOff>268906</xdr:colOff>
      <xdr:row>10</xdr:row>
      <xdr:rowOff>176463</xdr:rowOff>
    </xdr:to>
    <xdr:sp macro="" textlink="">
      <xdr:nvSpPr>
        <xdr:cNvPr id="6" name="Isosceles Triangle 5">
          <a:extLst>
            <a:ext uri="{FF2B5EF4-FFF2-40B4-BE49-F238E27FC236}">
              <a16:creationId xmlns:a16="http://schemas.microsoft.com/office/drawing/2014/main" id="{23FA83E5-BE8B-7D6D-922D-C74D07F59944}"/>
            </a:ext>
          </a:extLst>
        </xdr:cNvPr>
        <xdr:cNvSpPr/>
      </xdr:nvSpPr>
      <xdr:spPr>
        <a:xfrm>
          <a:off x="6523402" y="1219200"/>
          <a:ext cx="1060704" cy="914400"/>
        </a:xfrm>
        <a:prstGeom prs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Profit</a:t>
          </a:r>
        </a:p>
      </xdr:txBody>
    </xdr:sp>
    <xdr:clientData/>
  </xdr:twoCellAnchor>
  <xdr:twoCellAnchor>
    <xdr:from>
      <xdr:col>13</xdr:col>
      <xdr:colOff>199002</xdr:colOff>
      <xdr:row>6</xdr:row>
      <xdr:rowOff>0</xdr:rowOff>
    </xdr:from>
    <xdr:to>
      <xdr:col>15</xdr:col>
      <xdr:colOff>195954</xdr:colOff>
      <xdr:row>10</xdr:row>
      <xdr:rowOff>176463</xdr:rowOff>
    </xdr:to>
    <xdr:sp macro="" textlink="">
      <xdr:nvSpPr>
        <xdr:cNvPr id="7" name="Parallelogram 6">
          <a:extLst>
            <a:ext uri="{FF2B5EF4-FFF2-40B4-BE49-F238E27FC236}">
              <a16:creationId xmlns:a16="http://schemas.microsoft.com/office/drawing/2014/main" id="{CCCA5BDF-E707-0EA3-8F64-E579510E0619}"/>
            </a:ext>
          </a:extLst>
        </xdr:cNvPr>
        <xdr:cNvSpPr/>
      </xdr:nvSpPr>
      <xdr:spPr>
        <a:xfrm>
          <a:off x="8123802" y="1219200"/>
          <a:ext cx="1216152" cy="914400"/>
        </a:xfrm>
        <a:prstGeom prst="parallelogram">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Order</a:t>
          </a:r>
        </a:p>
      </xdr:txBody>
    </xdr:sp>
    <xdr:clientData/>
  </xdr:twoCellAnchor>
  <xdr:twoCellAnchor>
    <xdr:from>
      <xdr:col>16</xdr:col>
      <xdr:colOff>126050</xdr:colOff>
      <xdr:row>6</xdr:row>
      <xdr:rowOff>0</xdr:rowOff>
    </xdr:from>
    <xdr:to>
      <xdr:col>17</xdr:col>
      <xdr:colOff>430850</xdr:colOff>
      <xdr:row>10</xdr:row>
      <xdr:rowOff>176463</xdr:rowOff>
    </xdr:to>
    <xdr:sp macro="" textlink="">
      <xdr:nvSpPr>
        <xdr:cNvPr id="8" name="Diamond 7">
          <a:extLst>
            <a:ext uri="{FF2B5EF4-FFF2-40B4-BE49-F238E27FC236}">
              <a16:creationId xmlns:a16="http://schemas.microsoft.com/office/drawing/2014/main" id="{484B6D50-9C8C-E8BD-3197-E877DFDF04D0}"/>
            </a:ext>
          </a:extLst>
        </xdr:cNvPr>
        <xdr:cNvSpPr/>
      </xdr:nvSpPr>
      <xdr:spPr>
        <a:xfrm>
          <a:off x="9879650" y="1219200"/>
          <a:ext cx="914400" cy="914400"/>
        </a:xfrm>
        <a:prstGeom prst="diamond">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Total Quantity</a:t>
          </a:r>
        </a:p>
      </xdr:txBody>
    </xdr:sp>
    <xdr:clientData/>
  </xdr:twoCellAnchor>
  <xdr:twoCellAnchor>
    <xdr:from>
      <xdr:col>18</xdr:col>
      <xdr:colOff>360948</xdr:colOff>
      <xdr:row>6</xdr:row>
      <xdr:rowOff>0</xdr:rowOff>
    </xdr:from>
    <xdr:to>
      <xdr:col>20</xdr:col>
      <xdr:colOff>202452</xdr:colOff>
      <xdr:row>10</xdr:row>
      <xdr:rowOff>176463</xdr:rowOff>
    </xdr:to>
    <xdr:sp macro="" textlink="">
      <xdr:nvSpPr>
        <xdr:cNvPr id="9" name="Hexagon 8">
          <a:extLst>
            <a:ext uri="{FF2B5EF4-FFF2-40B4-BE49-F238E27FC236}">
              <a16:creationId xmlns:a16="http://schemas.microsoft.com/office/drawing/2014/main" id="{6368192A-1181-42D7-552C-3103FE60D299}"/>
            </a:ext>
          </a:extLst>
        </xdr:cNvPr>
        <xdr:cNvSpPr/>
      </xdr:nvSpPr>
      <xdr:spPr>
        <a:xfrm>
          <a:off x="11333748" y="1219200"/>
          <a:ext cx="1060704" cy="914400"/>
        </a:xfrm>
        <a:prstGeom prst="hexagon">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Average </a:t>
          </a:r>
        </a:p>
        <a:p>
          <a:pPr algn="l"/>
          <a:r>
            <a:rPr lang="en-IN" sz="1100" b="1">
              <a:solidFill>
                <a:schemeClr val="tx1"/>
              </a:solidFill>
            </a:rPr>
            <a:t>Order Value</a:t>
          </a:r>
        </a:p>
      </xdr:txBody>
    </xdr:sp>
    <xdr:clientData/>
  </xdr:twoCellAnchor>
  <xdr:twoCellAnchor>
    <xdr:from>
      <xdr:col>8</xdr:col>
      <xdr:colOff>192506</xdr:colOff>
      <xdr:row>6</xdr:row>
      <xdr:rowOff>0</xdr:rowOff>
    </xdr:from>
    <xdr:to>
      <xdr:col>9</xdr:col>
      <xdr:colOff>497306</xdr:colOff>
      <xdr:row>10</xdr:row>
      <xdr:rowOff>176463</xdr:rowOff>
    </xdr:to>
    <xdr:sp macro="" textlink="">
      <xdr:nvSpPr>
        <xdr:cNvPr id="10" name="Oval 9">
          <a:extLst>
            <a:ext uri="{FF2B5EF4-FFF2-40B4-BE49-F238E27FC236}">
              <a16:creationId xmlns:a16="http://schemas.microsoft.com/office/drawing/2014/main" id="{1EE96703-C26F-8CB7-D55F-064FBDA44638}"/>
            </a:ext>
          </a:extLst>
        </xdr:cNvPr>
        <xdr:cNvSpPr/>
      </xdr:nvSpPr>
      <xdr:spPr>
        <a:xfrm>
          <a:off x="5069306" y="1219200"/>
          <a:ext cx="914400" cy="914400"/>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Total</a:t>
          </a:r>
          <a:r>
            <a:rPr lang="en-IN" sz="1100" b="1" baseline="0">
              <a:solidFill>
                <a:schemeClr val="tx1"/>
              </a:solidFill>
            </a:rPr>
            <a:t> Sales</a:t>
          </a:r>
          <a:endParaRPr lang="en-IN" sz="11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9.73687951389" createdVersion="8" refreshedVersion="8" minRefreshableVersion="3" recordCount="100" xr:uid="{F3362610-B03F-446A-B2A4-E736E8FE3901}">
  <cacheSource type="worksheet">
    <worksheetSource name="Retail_Table"/>
  </cacheSource>
  <cacheFields count="12">
    <cacheField name="Order_ID" numFmtId="0">
      <sharedItems containsSemiMixedTypes="0" containsString="0" containsNumber="1" containsInteger="1" minValue="1001" maxValue="1100"/>
    </cacheField>
    <cacheField name="Order_Date" numFmtId="14">
      <sharedItems containsSemiMixedTypes="0" containsNonDate="0" containsDate="1" containsString="0" minDate="2024-01-01T00:00:00" maxDate="2024-04-10T00:00:00"/>
    </cacheField>
    <cacheField name="Store_Name" numFmtId="0">
      <sharedItems count="4">
        <s v="Store  A"/>
        <s v="Store  B"/>
        <s v="Store  C"/>
        <s v="Store  D"/>
      </sharedItems>
    </cacheField>
    <cacheField name="Region" numFmtId="0">
      <sharedItems count="4">
        <s v="North"/>
        <s v="South"/>
        <s v="East"/>
        <s v="West"/>
      </sharedItems>
    </cacheField>
    <cacheField name="Product_Catagory" numFmtId="0">
      <sharedItems count="3">
        <s v="Grocery"/>
        <s v="Electronics"/>
        <s v="Fashion"/>
      </sharedItems>
    </cacheField>
    <cacheField name="Product_Name" numFmtId="0">
      <sharedItems/>
    </cacheField>
    <cacheField name="Quantity" numFmtId="0">
      <sharedItems containsSemiMixedTypes="0" containsString="0" containsNumber="1" minValue="-10.1428571428571" maxValue="6"/>
    </cacheField>
    <cacheField name="Sales" numFmtId="0">
      <sharedItems containsSemiMixedTypes="0" containsString="0" containsNumber="1" minValue="1200" maxValue="577364.28571428603"/>
    </cacheField>
    <cacheField name="Cost" numFmtId="0">
      <sharedItems containsSemiMixedTypes="0" containsString="0" containsNumber="1" containsInteger="1" minValue="200" maxValue="7540"/>
    </cacheField>
    <cacheField name="Profit" numFmtId="0">
      <sharedItems containsSemiMixedTypes="0" containsString="0" containsNumber="1" minValue="1000" maxValue="569824.28571428603"/>
    </cacheField>
    <cacheField name="Payment_Mode" numFmtId="0">
      <sharedItems count="3">
        <s v="Cash"/>
        <s v="UPI"/>
        <s v="Card"/>
      </sharedItems>
    </cacheField>
    <cacheField name="Customer_Gender" numFmtId="0">
      <sharedItems/>
    </cacheField>
  </cacheFields>
  <extLst>
    <ext xmlns:x14="http://schemas.microsoft.com/office/spreadsheetml/2009/9/main" uri="{725AE2AE-9491-48be-B2B4-4EB974FC3084}">
      <x14:pivotCacheDefinition pivotCacheId="336202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4-01-01T00:00:00"/>
    <x v="0"/>
    <x v="0"/>
    <x v="0"/>
    <s v="Jeans"/>
    <n v="3"/>
    <n v="2500"/>
    <n v="1300"/>
    <n v="1200"/>
    <x v="0"/>
    <s v="Male"/>
  </r>
  <r>
    <n v="1002"/>
    <d v="2024-01-02T00:00:00"/>
    <x v="1"/>
    <x v="1"/>
    <x v="1"/>
    <s v="Shoes"/>
    <n v="5"/>
    <n v="1200"/>
    <n v="200"/>
    <n v="1000"/>
    <x v="1"/>
    <s v="Female"/>
  </r>
  <r>
    <n v="1003"/>
    <d v="2024-01-03T00:00:00"/>
    <x v="2"/>
    <x v="2"/>
    <x v="2"/>
    <s v="Headphones"/>
    <n v="2"/>
    <n v="15000"/>
    <n v="1200"/>
    <n v="13800"/>
    <x v="2"/>
    <s v="Female"/>
  </r>
  <r>
    <n v="1004"/>
    <d v="2024-01-04T00:00:00"/>
    <x v="3"/>
    <x v="3"/>
    <x v="1"/>
    <s v="Wheat"/>
    <n v="5"/>
    <n v="3000"/>
    <n v="300"/>
    <n v="2700"/>
    <x v="0"/>
    <s v="Male"/>
  </r>
  <r>
    <n v="1005"/>
    <d v="2024-01-05T00:00:00"/>
    <x v="0"/>
    <x v="0"/>
    <x v="0"/>
    <s v="Mobile"/>
    <n v="6"/>
    <n v="4200"/>
    <n v="1100"/>
    <n v="3100"/>
    <x v="1"/>
    <s v="Male"/>
  </r>
  <r>
    <n v="1006"/>
    <d v="2024-01-06T00:00:00"/>
    <x v="1"/>
    <x v="1"/>
    <x v="2"/>
    <s v="Grocery"/>
    <n v="1"/>
    <n v="25050"/>
    <n v="1900"/>
    <n v="23150"/>
    <x v="0"/>
    <s v="Female"/>
  </r>
  <r>
    <n v="1007"/>
    <d v="2024-01-07T00:00:00"/>
    <x v="2"/>
    <x v="2"/>
    <x v="1"/>
    <s v="Electronics"/>
    <n v="3"/>
    <n v="45000"/>
    <n v="1960"/>
    <n v="43040"/>
    <x v="0"/>
    <s v="Male"/>
  </r>
  <r>
    <n v="1008"/>
    <d v="2024-01-08T00:00:00"/>
    <x v="3"/>
    <x v="3"/>
    <x v="2"/>
    <s v="Jeans"/>
    <n v="3"/>
    <n v="37192.857142857101"/>
    <n v="2020"/>
    <n v="35172.857142857101"/>
    <x v="2"/>
    <s v="Female"/>
  </r>
  <r>
    <n v="1009"/>
    <d v="2024-01-09T00:00:00"/>
    <x v="0"/>
    <x v="0"/>
    <x v="0"/>
    <s v="Shoes"/>
    <n v="2.8571428571428599"/>
    <n v="43064.285714285703"/>
    <n v="2080"/>
    <n v="40984.285714285703"/>
    <x v="1"/>
    <s v="Male"/>
  </r>
  <r>
    <n v="1010"/>
    <d v="2024-01-10T00:00:00"/>
    <x v="1"/>
    <x v="1"/>
    <x v="0"/>
    <s v="Headphones"/>
    <n v="2.71428571428571"/>
    <n v="48935.714285714203"/>
    <n v="2140"/>
    <n v="46795.714285714203"/>
    <x v="0"/>
    <s v="Female"/>
  </r>
  <r>
    <n v="1011"/>
    <d v="2024-01-11T00:00:00"/>
    <x v="2"/>
    <x v="2"/>
    <x v="1"/>
    <s v="Wheat"/>
    <n v="2.5714285714285698"/>
    <n v="54807.142857142797"/>
    <n v="2200"/>
    <n v="52607.142857142797"/>
    <x v="1"/>
    <s v="Male"/>
  </r>
  <r>
    <n v="1012"/>
    <d v="2024-01-12T00:00:00"/>
    <x v="3"/>
    <x v="3"/>
    <x v="2"/>
    <s v="Mobile"/>
    <n v="2.4285714285714302"/>
    <n v="60678.571428571398"/>
    <n v="2260"/>
    <n v="58418.571428571398"/>
    <x v="2"/>
    <s v="Female"/>
  </r>
  <r>
    <n v="1013"/>
    <d v="2024-01-13T00:00:00"/>
    <x v="0"/>
    <x v="0"/>
    <x v="1"/>
    <s v="Grocery"/>
    <n v="2.28571428571429"/>
    <n v="66549.999999999898"/>
    <n v="2320"/>
    <n v="64229.999999999898"/>
    <x v="0"/>
    <s v="Female"/>
  </r>
  <r>
    <n v="1014"/>
    <d v="2024-01-14T00:00:00"/>
    <x v="1"/>
    <x v="1"/>
    <x v="0"/>
    <s v="Electronics"/>
    <n v="2.1428571428571401"/>
    <n v="72421.428571428594"/>
    <n v="2380"/>
    <n v="70041.428571428594"/>
    <x v="1"/>
    <s v="Male"/>
  </r>
  <r>
    <n v="1015"/>
    <d v="2024-01-15T00:00:00"/>
    <x v="2"/>
    <x v="2"/>
    <x v="2"/>
    <s v="Jeans"/>
    <n v="2"/>
    <n v="78292.857142857101"/>
    <n v="2440"/>
    <n v="75852.857142857101"/>
    <x v="0"/>
    <s v="Male"/>
  </r>
  <r>
    <n v="1016"/>
    <d v="2024-01-16T00:00:00"/>
    <x v="3"/>
    <x v="3"/>
    <x v="1"/>
    <s v="Shoes"/>
    <n v="1.8571428571428601"/>
    <n v="84164.285714285696"/>
    <n v="2500"/>
    <n v="81664.285714285696"/>
    <x v="0"/>
    <s v="Female"/>
  </r>
  <r>
    <n v="1017"/>
    <d v="2024-01-17T00:00:00"/>
    <x v="0"/>
    <x v="0"/>
    <x v="2"/>
    <s v="Headphones"/>
    <n v="1.71428571428572"/>
    <n v="90035.714285714203"/>
    <n v="2560"/>
    <n v="87475.714285714203"/>
    <x v="2"/>
    <s v="Male"/>
  </r>
  <r>
    <n v="1018"/>
    <d v="2024-01-18T00:00:00"/>
    <x v="1"/>
    <x v="1"/>
    <x v="0"/>
    <s v="Wheat"/>
    <n v="1.5714285714285701"/>
    <n v="95907.142857142797"/>
    <n v="2620"/>
    <n v="93287.142857142797"/>
    <x v="1"/>
    <s v="Female"/>
  </r>
  <r>
    <n v="1019"/>
    <d v="2024-01-19T00:00:00"/>
    <x v="2"/>
    <x v="2"/>
    <x v="0"/>
    <s v="Mobile"/>
    <n v="1.4285714285714299"/>
    <n v="101778.571428571"/>
    <n v="2680"/>
    <n v="99098.571428570998"/>
    <x v="0"/>
    <s v="Male"/>
  </r>
  <r>
    <n v="1020"/>
    <d v="2024-01-20T00:00:00"/>
    <x v="3"/>
    <x v="3"/>
    <x v="1"/>
    <s v="Grocery"/>
    <n v="1.28571428571429"/>
    <n v="107650"/>
    <n v="2740"/>
    <n v="104910"/>
    <x v="1"/>
    <s v="Female"/>
  </r>
  <r>
    <n v="1021"/>
    <d v="2024-01-21T00:00:00"/>
    <x v="0"/>
    <x v="0"/>
    <x v="2"/>
    <s v="Electronics"/>
    <n v="1.1428571428571399"/>
    <n v="113521.428571428"/>
    <n v="2800"/>
    <n v="110721.428571428"/>
    <x v="2"/>
    <s v="Male"/>
  </r>
  <r>
    <n v="1022"/>
    <d v="2024-01-22T00:00:00"/>
    <x v="1"/>
    <x v="1"/>
    <x v="1"/>
    <s v="Jeans"/>
    <n v="1"/>
    <n v="119392.857142857"/>
    <n v="2860"/>
    <n v="116532.857142857"/>
    <x v="0"/>
    <s v="Female"/>
  </r>
  <r>
    <n v="1023"/>
    <d v="2024-01-23T00:00:00"/>
    <x v="2"/>
    <x v="2"/>
    <x v="0"/>
    <s v="Shoes"/>
    <n v="0.85714285714285898"/>
    <n v="125264.285714286"/>
    <n v="2920"/>
    <n v="122344.285714286"/>
    <x v="1"/>
    <s v="Female"/>
  </r>
  <r>
    <n v="1024"/>
    <d v="2024-01-24T00:00:00"/>
    <x v="3"/>
    <x v="3"/>
    <x v="2"/>
    <s v="Headphones"/>
    <n v="0.71428571428571996"/>
    <n v="131135.714285714"/>
    <n v="2980"/>
    <n v="128155.714285714"/>
    <x v="0"/>
    <s v="Male"/>
  </r>
  <r>
    <n v="1025"/>
    <d v="2024-01-25T00:00:00"/>
    <x v="0"/>
    <x v="0"/>
    <x v="1"/>
    <s v="Wheat"/>
    <n v="0.57142857142856895"/>
    <n v="137007.14285714299"/>
    <n v="3040"/>
    <n v="133967.14285714299"/>
    <x v="0"/>
    <s v="Male"/>
  </r>
  <r>
    <n v="1026"/>
    <d v="2024-01-26T00:00:00"/>
    <x v="1"/>
    <x v="1"/>
    <x v="2"/>
    <s v="Mobile"/>
    <n v="0.42857142857142999"/>
    <n v="142878.57142857101"/>
    <n v="3100"/>
    <n v="139778.57142857101"/>
    <x v="2"/>
    <s v="Female"/>
  </r>
  <r>
    <n v="1027"/>
    <d v="2024-01-27T00:00:00"/>
    <x v="2"/>
    <x v="2"/>
    <x v="0"/>
    <s v="Grocery"/>
    <n v="0.28571428571428997"/>
    <n v="148750"/>
    <n v="3160"/>
    <n v="145590"/>
    <x v="1"/>
    <s v="Male"/>
  </r>
  <r>
    <n v="1028"/>
    <d v="2024-01-28T00:00:00"/>
    <x v="3"/>
    <x v="3"/>
    <x v="0"/>
    <s v="Electronics"/>
    <n v="0.14285714285713999"/>
    <n v="154621.428571428"/>
    <n v="3220"/>
    <n v="151401.428571428"/>
    <x v="0"/>
    <s v="Female"/>
  </r>
  <r>
    <n v="1029"/>
    <d v="2024-01-29T00:00:00"/>
    <x v="0"/>
    <x v="0"/>
    <x v="1"/>
    <s v="Jeans"/>
    <n v="-4.4408920985006301E-16"/>
    <n v="160492.85714285701"/>
    <n v="3280"/>
    <n v="157212.85714285701"/>
    <x v="1"/>
    <s v="Male"/>
  </r>
  <r>
    <n v="1030"/>
    <d v="2024-01-30T00:00:00"/>
    <x v="1"/>
    <x v="1"/>
    <x v="2"/>
    <s v="Shoes"/>
    <n v="-0.14285714285713999"/>
    <n v="166364.285714286"/>
    <n v="3340"/>
    <n v="163024.285714286"/>
    <x v="2"/>
    <s v="Female"/>
  </r>
  <r>
    <n v="1031"/>
    <d v="2024-01-31T00:00:00"/>
    <x v="2"/>
    <x v="2"/>
    <x v="1"/>
    <s v="Headphones"/>
    <n v="-0.28571428571428098"/>
    <n v="172235.714285714"/>
    <n v="3400"/>
    <n v="168835.714285714"/>
    <x v="0"/>
    <s v="Male"/>
  </r>
  <r>
    <n v="1032"/>
    <d v="2024-02-01T00:00:00"/>
    <x v="3"/>
    <x v="3"/>
    <x v="0"/>
    <s v="Wheat"/>
    <n v="-0.42857142857142999"/>
    <n v="178107.14285714299"/>
    <n v="3460"/>
    <n v="174647.14285714299"/>
    <x v="1"/>
    <s v="Female"/>
  </r>
  <r>
    <n v="1033"/>
    <d v="2024-02-02T00:00:00"/>
    <x v="0"/>
    <x v="0"/>
    <x v="2"/>
    <s v="Mobile"/>
    <n v="-0.57142857142857095"/>
    <n v="183978.57142857101"/>
    <n v="3520"/>
    <n v="180458.57142857101"/>
    <x v="0"/>
    <s v="Female"/>
  </r>
  <r>
    <n v="1034"/>
    <d v="2024-02-03T00:00:00"/>
    <x v="1"/>
    <x v="1"/>
    <x v="1"/>
    <s v="Grocery"/>
    <n v="-0.71428571428570997"/>
    <n v="189850"/>
    <n v="3580"/>
    <n v="186270"/>
    <x v="0"/>
    <s v="Male"/>
  </r>
  <r>
    <n v="1035"/>
    <d v="2024-02-04T00:00:00"/>
    <x v="2"/>
    <x v="2"/>
    <x v="2"/>
    <s v="Electronics"/>
    <n v="-0.85714285714284999"/>
    <n v="195721.428571428"/>
    <n v="3640"/>
    <n v="192081.428571428"/>
    <x v="2"/>
    <s v="Male"/>
  </r>
  <r>
    <n v="1036"/>
    <d v="2024-02-05T00:00:00"/>
    <x v="3"/>
    <x v="3"/>
    <x v="0"/>
    <s v="Jeans"/>
    <n v="-1"/>
    <n v="201592.85714285701"/>
    <n v="3700"/>
    <n v="197892.85714285701"/>
    <x v="1"/>
    <s v="Female"/>
  </r>
  <r>
    <n v="1037"/>
    <d v="2024-02-06T00:00:00"/>
    <x v="0"/>
    <x v="0"/>
    <x v="0"/>
    <s v="Shoes"/>
    <n v="-1.1428571428571399"/>
    <n v="207464.285714286"/>
    <n v="3760"/>
    <n v="203704.285714286"/>
    <x v="0"/>
    <s v="Male"/>
  </r>
  <r>
    <n v="1038"/>
    <d v="2024-02-07T00:00:00"/>
    <x v="1"/>
    <x v="1"/>
    <x v="1"/>
    <s v="Headphones"/>
    <n v="-1.28571428571428"/>
    <n v="213335.714285714"/>
    <n v="3820"/>
    <n v="209515.714285714"/>
    <x v="1"/>
    <s v="Female"/>
  </r>
  <r>
    <n v="1039"/>
    <d v="2024-02-08T00:00:00"/>
    <x v="2"/>
    <x v="2"/>
    <x v="2"/>
    <s v="Wheat"/>
    <n v="-1.4285714285714299"/>
    <n v="219207.14285714299"/>
    <n v="3880"/>
    <n v="215327.14285714299"/>
    <x v="2"/>
    <s v="Male"/>
  </r>
  <r>
    <n v="1040"/>
    <d v="2024-02-09T00:00:00"/>
    <x v="3"/>
    <x v="3"/>
    <x v="1"/>
    <s v="Mobile"/>
    <n v="-1.5714285714285701"/>
    <n v="225078.57142857101"/>
    <n v="3940"/>
    <n v="221138.57142857101"/>
    <x v="0"/>
    <s v="Female"/>
  </r>
  <r>
    <n v="1041"/>
    <d v="2024-02-10T00:00:00"/>
    <x v="0"/>
    <x v="0"/>
    <x v="0"/>
    <s v="Grocery"/>
    <n v="-1.71428571428571"/>
    <n v="230950"/>
    <n v="4000"/>
    <n v="226950"/>
    <x v="1"/>
    <s v="Male"/>
  </r>
  <r>
    <n v="1042"/>
    <d v="2024-02-11T00:00:00"/>
    <x v="1"/>
    <x v="1"/>
    <x v="2"/>
    <s v="Electronics"/>
    <n v="-1.8571428571428501"/>
    <n v="236821.428571428"/>
    <n v="4060"/>
    <n v="232761.428571428"/>
    <x v="0"/>
    <s v="Female"/>
  </r>
  <r>
    <n v="1043"/>
    <d v="2024-02-12T00:00:00"/>
    <x v="2"/>
    <x v="2"/>
    <x v="1"/>
    <s v="Jeans"/>
    <n v="-2"/>
    <n v="242692.85714285701"/>
    <n v="4120"/>
    <n v="238572.85714285701"/>
    <x v="0"/>
    <s v="Female"/>
  </r>
  <r>
    <n v="1044"/>
    <d v="2024-02-13T00:00:00"/>
    <x v="3"/>
    <x v="3"/>
    <x v="2"/>
    <s v="Shoes"/>
    <n v="-2.1428571428571401"/>
    <n v="248564.285714286"/>
    <n v="4180"/>
    <n v="244384.285714286"/>
    <x v="2"/>
    <s v="Male"/>
  </r>
  <r>
    <n v="1045"/>
    <d v="2024-02-14T00:00:00"/>
    <x v="0"/>
    <x v="0"/>
    <x v="0"/>
    <s v="Headphones"/>
    <n v="-2.2857142857142798"/>
    <n v="254435.714285714"/>
    <n v="4240"/>
    <n v="250195.714285714"/>
    <x v="1"/>
    <s v="Male"/>
  </r>
  <r>
    <n v="1046"/>
    <d v="2024-02-15T00:00:00"/>
    <x v="1"/>
    <x v="1"/>
    <x v="0"/>
    <s v="Wheat"/>
    <n v="-2.4285714285714302"/>
    <n v="260307.14285714299"/>
    <n v="4300"/>
    <n v="256007.14285714299"/>
    <x v="0"/>
    <s v="Female"/>
  </r>
  <r>
    <n v="1047"/>
    <d v="2024-02-16T00:00:00"/>
    <x v="2"/>
    <x v="2"/>
    <x v="1"/>
    <s v="Mobile"/>
    <n v="-2.5714285714285698"/>
    <n v="266178.57142857101"/>
    <n v="4360"/>
    <n v="261818.57142857101"/>
    <x v="1"/>
    <s v="Male"/>
  </r>
  <r>
    <n v="1048"/>
    <d v="2024-02-17T00:00:00"/>
    <x v="3"/>
    <x v="3"/>
    <x v="2"/>
    <s v="Grocery"/>
    <n v="-2.71428571428571"/>
    <n v="272050"/>
    <n v="4420"/>
    <n v="267630"/>
    <x v="2"/>
    <s v="Female"/>
  </r>
  <r>
    <n v="1049"/>
    <d v="2024-02-18T00:00:00"/>
    <x v="0"/>
    <x v="0"/>
    <x v="1"/>
    <s v="Electronics"/>
    <n v="-2.8571428571428501"/>
    <n v="277921.428571428"/>
    <n v="4480"/>
    <n v="273441.428571428"/>
    <x v="0"/>
    <s v="Male"/>
  </r>
  <r>
    <n v="1050"/>
    <d v="2024-02-19T00:00:00"/>
    <x v="1"/>
    <x v="1"/>
    <x v="0"/>
    <s v="Jeans"/>
    <n v="-3"/>
    <n v="283792.85714285698"/>
    <n v="4540"/>
    <n v="279252.85714285698"/>
    <x v="1"/>
    <s v="Female"/>
  </r>
  <r>
    <n v="1051"/>
    <d v="2024-02-20T00:00:00"/>
    <x v="2"/>
    <x v="2"/>
    <x v="2"/>
    <s v="Shoes"/>
    <n v="-3.1428571428571401"/>
    <n v="289664.28571428597"/>
    <n v="4600"/>
    <n v="285064.28571428597"/>
    <x v="0"/>
    <s v="Male"/>
  </r>
  <r>
    <n v="1052"/>
    <d v="2024-02-21T00:00:00"/>
    <x v="3"/>
    <x v="3"/>
    <x v="1"/>
    <s v="Headphones"/>
    <n v="-3.2857142857142798"/>
    <n v="295535.71428571403"/>
    <n v="4660"/>
    <n v="290875.71428571403"/>
    <x v="0"/>
    <s v="Female"/>
  </r>
  <r>
    <n v="1053"/>
    <d v="2024-02-22T00:00:00"/>
    <x v="0"/>
    <x v="0"/>
    <x v="2"/>
    <s v="Wheat"/>
    <n v="-3.4285714285714302"/>
    <n v="301407.14285714302"/>
    <n v="4720"/>
    <n v="296687.14285714302"/>
    <x v="2"/>
    <s v="Female"/>
  </r>
  <r>
    <n v="1054"/>
    <d v="2024-02-23T00:00:00"/>
    <x v="1"/>
    <x v="1"/>
    <x v="0"/>
    <s v="Mobile"/>
    <n v="-3.5714285714285698"/>
    <n v="307278.57142857101"/>
    <n v="4780"/>
    <n v="302498.57142857101"/>
    <x v="1"/>
    <s v="Male"/>
  </r>
  <r>
    <n v="1055"/>
    <d v="2024-02-24T00:00:00"/>
    <x v="2"/>
    <x v="2"/>
    <x v="0"/>
    <s v="Grocery"/>
    <n v="-3.71428571428571"/>
    <n v="313150"/>
    <n v="4840"/>
    <n v="308310"/>
    <x v="0"/>
    <s v="Male"/>
  </r>
  <r>
    <n v="1056"/>
    <d v="2024-02-25T00:00:00"/>
    <x v="3"/>
    <x v="3"/>
    <x v="1"/>
    <s v="Electronics"/>
    <n v="-3.8571428571428501"/>
    <n v="319021.428571428"/>
    <n v="4900"/>
    <n v="314121.428571428"/>
    <x v="1"/>
    <s v="Female"/>
  </r>
  <r>
    <n v="1057"/>
    <d v="2024-02-26T00:00:00"/>
    <x v="0"/>
    <x v="0"/>
    <x v="2"/>
    <s v="Jeans"/>
    <n v="-4"/>
    <n v="324892.85714285698"/>
    <n v="4960"/>
    <n v="319932.85714285698"/>
    <x v="2"/>
    <s v="Male"/>
  </r>
  <r>
    <n v="1058"/>
    <d v="2024-02-27T00:00:00"/>
    <x v="1"/>
    <x v="1"/>
    <x v="1"/>
    <s v="Shoes"/>
    <n v="-4.1428571428571397"/>
    <n v="330764.28571428597"/>
    <n v="5020"/>
    <n v="325744.28571428597"/>
    <x v="0"/>
    <s v="Female"/>
  </r>
  <r>
    <n v="1059"/>
    <d v="2024-02-28T00:00:00"/>
    <x v="2"/>
    <x v="2"/>
    <x v="0"/>
    <s v="Headphones"/>
    <n v="-4.2857142857142803"/>
    <n v="336635.71428571403"/>
    <n v="5080"/>
    <n v="331555.71428571403"/>
    <x v="1"/>
    <s v="Male"/>
  </r>
  <r>
    <n v="1060"/>
    <d v="2024-02-29T00:00:00"/>
    <x v="3"/>
    <x v="3"/>
    <x v="2"/>
    <s v="Wheat"/>
    <n v="-4.4285714285714297"/>
    <n v="342507.14285714302"/>
    <n v="5140"/>
    <n v="337367.14285714302"/>
    <x v="0"/>
    <s v="Female"/>
  </r>
  <r>
    <n v="1061"/>
    <d v="2024-03-01T00:00:00"/>
    <x v="0"/>
    <x v="0"/>
    <x v="1"/>
    <s v="Mobile"/>
    <n v="-4.5714285714285703"/>
    <n v="348378.57142857101"/>
    <n v="5200"/>
    <n v="343178.57142857101"/>
    <x v="0"/>
    <s v="Male"/>
  </r>
  <r>
    <n v="1062"/>
    <d v="2024-03-02T00:00:00"/>
    <x v="1"/>
    <x v="1"/>
    <x v="2"/>
    <s v="Grocery"/>
    <n v="-4.71428571428571"/>
    <n v="354250"/>
    <n v="5260"/>
    <n v="348990"/>
    <x v="2"/>
    <s v="Female"/>
  </r>
  <r>
    <n v="1063"/>
    <d v="2024-03-03T00:00:00"/>
    <x v="2"/>
    <x v="2"/>
    <x v="0"/>
    <s v="Electronics"/>
    <n v="-4.8571428571428497"/>
    <n v="360121.428571428"/>
    <n v="5320"/>
    <n v="354801.428571428"/>
    <x v="1"/>
    <s v="Female"/>
  </r>
  <r>
    <n v="1064"/>
    <d v="2024-03-04T00:00:00"/>
    <x v="3"/>
    <x v="3"/>
    <x v="0"/>
    <s v="Jeans"/>
    <n v="-5"/>
    <n v="365992.85714285698"/>
    <n v="5380"/>
    <n v="360612.85714285698"/>
    <x v="0"/>
    <s v="Male"/>
  </r>
  <r>
    <n v="1065"/>
    <d v="2024-03-05T00:00:00"/>
    <x v="0"/>
    <x v="0"/>
    <x v="1"/>
    <s v="Shoes"/>
    <n v="-5.1428571428571397"/>
    <n v="371864.28571428597"/>
    <n v="5440"/>
    <n v="366424.28571428597"/>
    <x v="1"/>
    <s v="Male"/>
  </r>
  <r>
    <n v="1066"/>
    <d v="2024-03-06T00:00:00"/>
    <x v="1"/>
    <x v="1"/>
    <x v="2"/>
    <s v="Headphones"/>
    <n v="-5.2857142857142803"/>
    <n v="377735.71428571403"/>
    <n v="5500"/>
    <n v="372235.71428571403"/>
    <x v="2"/>
    <s v="Female"/>
  </r>
  <r>
    <n v="1067"/>
    <d v="2024-03-07T00:00:00"/>
    <x v="2"/>
    <x v="2"/>
    <x v="1"/>
    <s v="Wheat"/>
    <n v="-5.4285714285714199"/>
    <n v="383607.14285714302"/>
    <n v="5560"/>
    <n v="378047.14285714302"/>
    <x v="0"/>
    <s v="Male"/>
  </r>
  <r>
    <n v="1068"/>
    <d v="2024-03-08T00:00:00"/>
    <x v="3"/>
    <x v="3"/>
    <x v="0"/>
    <s v="Mobile"/>
    <n v="-5.5714285714285703"/>
    <n v="389478.57142857101"/>
    <n v="5620"/>
    <n v="383858.57142857101"/>
    <x v="1"/>
    <s v="Female"/>
  </r>
  <r>
    <n v="1069"/>
    <d v="2024-03-09T00:00:00"/>
    <x v="0"/>
    <x v="0"/>
    <x v="2"/>
    <s v="Grocery"/>
    <n v="-5.71428571428571"/>
    <n v="395350"/>
    <n v="5680"/>
    <n v="389670"/>
    <x v="0"/>
    <s v="Male"/>
  </r>
  <r>
    <n v="1070"/>
    <d v="2024-03-10T00:00:00"/>
    <x v="1"/>
    <x v="1"/>
    <x v="1"/>
    <s v="Electronics"/>
    <n v="-5.8571428571428497"/>
    <n v="401221.428571428"/>
    <n v="5740"/>
    <n v="395481.428571428"/>
    <x v="0"/>
    <s v="Female"/>
  </r>
  <r>
    <n v="1071"/>
    <d v="2024-03-11T00:00:00"/>
    <x v="2"/>
    <x v="2"/>
    <x v="2"/>
    <s v="Jeans"/>
    <n v="-6"/>
    <n v="407092.85714285698"/>
    <n v="5800"/>
    <n v="401292.85714285698"/>
    <x v="2"/>
    <s v="Male"/>
  </r>
  <r>
    <n v="1072"/>
    <d v="2024-03-12T00:00:00"/>
    <x v="3"/>
    <x v="3"/>
    <x v="0"/>
    <s v="Shoes"/>
    <n v="-6.1428571428570997"/>
    <n v="412964.28571428597"/>
    <n v="5860"/>
    <n v="407104.28571428597"/>
    <x v="1"/>
    <s v="Female"/>
  </r>
  <r>
    <n v="1073"/>
    <d v="2024-03-13T00:00:00"/>
    <x v="0"/>
    <x v="0"/>
    <x v="0"/>
    <s v="Headphones"/>
    <n v="-6.2857142857142998"/>
    <n v="418835.71428571403"/>
    <n v="5920"/>
    <n v="412915.71428571403"/>
    <x v="0"/>
    <s v="Female"/>
  </r>
  <r>
    <n v="1074"/>
    <d v="2024-03-14T00:00:00"/>
    <x v="1"/>
    <x v="1"/>
    <x v="1"/>
    <s v="Wheat"/>
    <n v="-6.4285714285714004"/>
    <n v="424707.14285714302"/>
    <n v="5980"/>
    <n v="418727.14285714302"/>
    <x v="1"/>
    <s v="Male"/>
  </r>
  <r>
    <n v="1075"/>
    <d v="2024-03-15T00:00:00"/>
    <x v="2"/>
    <x v="2"/>
    <x v="2"/>
    <s v="Mobile"/>
    <n v="-6.5714285714285996"/>
    <n v="430578.57142857101"/>
    <n v="6040"/>
    <n v="424538.57142857101"/>
    <x v="2"/>
    <s v="Male"/>
  </r>
  <r>
    <n v="1076"/>
    <d v="2024-03-16T00:00:00"/>
    <x v="3"/>
    <x v="3"/>
    <x v="1"/>
    <s v="Grocery"/>
    <n v="-6.7142857142857002"/>
    <n v="436450"/>
    <n v="6100"/>
    <n v="430350"/>
    <x v="0"/>
    <s v="Female"/>
  </r>
  <r>
    <n v="1077"/>
    <d v="2024-03-17T00:00:00"/>
    <x v="0"/>
    <x v="0"/>
    <x v="0"/>
    <s v="Electronics"/>
    <n v="-6.8571428571429003"/>
    <n v="442321.428571428"/>
    <n v="6160"/>
    <n v="436161.428571428"/>
    <x v="1"/>
    <s v="Male"/>
  </r>
  <r>
    <n v="1078"/>
    <d v="2024-03-18T00:00:00"/>
    <x v="1"/>
    <x v="1"/>
    <x v="2"/>
    <s v="Jeans"/>
    <n v="-7"/>
    <n v="448192.85714285698"/>
    <n v="6220"/>
    <n v="441972.85714285698"/>
    <x v="0"/>
    <s v="Female"/>
  </r>
  <r>
    <n v="1079"/>
    <d v="2024-03-19T00:00:00"/>
    <x v="2"/>
    <x v="2"/>
    <x v="1"/>
    <s v="Shoes"/>
    <n v="-7.1428571428570997"/>
    <n v="454064.28571428597"/>
    <n v="6280"/>
    <n v="447784.28571428597"/>
    <x v="0"/>
    <s v="Male"/>
  </r>
  <r>
    <n v="1080"/>
    <d v="2024-03-20T00:00:00"/>
    <x v="3"/>
    <x v="3"/>
    <x v="2"/>
    <s v="Headphones"/>
    <n v="-7.2857142857142998"/>
    <n v="459935.71428571403"/>
    <n v="6340"/>
    <n v="453595.71428571403"/>
    <x v="2"/>
    <s v="Female"/>
  </r>
  <r>
    <n v="1081"/>
    <d v="2024-03-21T00:00:00"/>
    <x v="0"/>
    <x v="0"/>
    <x v="0"/>
    <s v="Wheat"/>
    <n v="-7.4285714285714004"/>
    <n v="465807.14285714302"/>
    <n v="6400"/>
    <n v="459407.14285714302"/>
    <x v="1"/>
    <s v="Male"/>
  </r>
  <r>
    <n v="1082"/>
    <d v="2024-03-22T00:00:00"/>
    <x v="1"/>
    <x v="1"/>
    <x v="0"/>
    <s v="Mobile"/>
    <n v="-7.5714285714285996"/>
    <n v="471678.57142857101"/>
    <n v="6460"/>
    <n v="465218.57142857101"/>
    <x v="0"/>
    <s v="Female"/>
  </r>
  <r>
    <n v="1083"/>
    <d v="2024-03-23T00:00:00"/>
    <x v="2"/>
    <x v="2"/>
    <x v="1"/>
    <s v="Grocery"/>
    <n v="-7.7142857142857002"/>
    <n v="477550"/>
    <n v="6520"/>
    <n v="471030"/>
    <x v="1"/>
    <s v="Female"/>
  </r>
  <r>
    <n v="1084"/>
    <d v="2024-03-24T00:00:00"/>
    <x v="3"/>
    <x v="3"/>
    <x v="2"/>
    <s v="Electronics"/>
    <n v="-7.8571428571429003"/>
    <n v="483421.428571428"/>
    <n v="6580"/>
    <n v="476841.428571428"/>
    <x v="2"/>
    <s v="Male"/>
  </r>
  <r>
    <n v="1085"/>
    <d v="2024-03-25T00:00:00"/>
    <x v="0"/>
    <x v="0"/>
    <x v="1"/>
    <s v="Jeans"/>
    <n v="-8"/>
    <n v="489292.85714285698"/>
    <n v="6640"/>
    <n v="482652.85714285698"/>
    <x v="0"/>
    <s v="Male"/>
  </r>
  <r>
    <n v="1086"/>
    <d v="2024-03-26T00:00:00"/>
    <x v="1"/>
    <x v="1"/>
    <x v="0"/>
    <s v="Shoes"/>
    <n v="-8.1428571428570997"/>
    <n v="495164.28571428597"/>
    <n v="6700"/>
    <n v="488464.28571428597"/>
    <x v="1"/>
    <s v="Female"/>
  </r>
  <r>
    <n v="1087"/>
    <d v="2024-03-27T00:00:00"/>
    <x v="2"/>
    <x v="2"/>
    <x v="2"/>
    <s v="Headphones"/>
    <n v="-8.2857142857143007"/>
    <n v="501035.71428571403"/>
    <n v="6760"/>
    <n v="494275.71428571403"/>
    <x v="0"/>
    <s v="Male"/>
  </r>
  <r>
    <n v="1088"/>
    <d v="2024-03-28T00:00:00"/>
    <x v="3"/>
    <x v="3"/>
    <x v="1"/>
    <s v="Wheat"/>
    <n v="-8.4285714285714004"/>
    <n v="506907.14285714302"/>
    <n v="6820"/>
    <n v="500087.14285714302"/>
    <x v="0"/>
    <s v="Female"/>
  </r>
  <r>
    <n v="1089"/>
    <d v="2024-03-29T00:00:00"/>
    <x v="0"/>
    <x v="0"/>
    <x v="2"/>
    <s v="Mobile"/>
    <n v="-8.5714285714285996"/>
    <n v="512778.57142857101"/>
    <n v="6880"/>
    <n v="505898.57142857101"/>
    <x v="2"/>
    <s v="Male"/>
  </r>
  <r>
    <n v="1090"/>
    <d v="2024-03-30T00:00:00"/>
    <x v="1"/>
    <x v="1"/>
    <x v="0"/>
    <s v="Grocery"/>
    <n v="-8.7142857142856993"/>
    <n v="518650"/>
    <n v="6940"/>
    <n v="511710"/>
    <x v="1"/>
    <s v="Female"/>
  </r>
  <r>
    <n v="1091"/>
    <d v="2024-03-31T00:00:00"/>
    <x v="2"/>
    <x v="2"/>
    <x v="0"/>
    <s v="Electronics"/>
    <n v="-8.8571428571429003"/>
    <n v="524521.42857142806"/>
    <n v="7000"/>
    <n v="517521.42857142806"/>
    <x v="0"/>
    <s v="Male"/>
  </r>
  <r>
    <n v="1092"/>
    <d v="2024-04-01T00:00:00"/>
    <x v="3"/>
    <x v="3"/>
    <x v="1"/>
    <s v="Jeans"/>
    <n v="-9"/>
    <n v="530392.85714285704"/>
    <n v="7060"/>
    <n v="523332.85714285704"/>
    <x v="1"/>
    <s v="Female"/>
  </r>
  <r>
    <n v="1093"/>
    <d v="2024-04-02T00:00:00"/>
    <x v="0"/>
    <x v="0"/>
    <x v="2"/>
    <s v="Shoes"/>
    <n v="-9.1428571428570997"/>
    <n v="536264.28571428603"/>
    <n v="7120"/>
    <n v="529144.28571428603"/>
    <x v="2"/>
    <s v="Female"/>
  </r>
  <r>
    <n v="1094"/>
    <d v="2024-04-03T00:00:00"/>
    <x v="1"/>
    <x v="1"/>
    <x v="1"/>
    <s v="Headphones"/>
    <n v="-9.2857142857143007"/>
    <n v="542135.71428571397"/>
    <n v="7180"/>
    <n v="534955.71428571397"/>
    <x v="0"/>
    <s v="Male"/>
  </r>
  <r>
    <n v="1095"/>
    <d v="2024-04-04T00:00:00"/>
    <x v="2"/>
    <x v="2"/>
    <x v="0"/>
    <s v="Wheat"/>
    <n v="-9.4285714285714004"/>
    <n v="548007.14285714296"/>
    <n v="7240"/>
    <n v="540767.14285714296"/>
    <x v="1"/>
    <s v="Male"/>
  </r>
  <r>
    <n v="1096"/>
    <d v="2024-04-05T00:00:00"/>
    <x v="3"/>
    <x v="3"/>
    <x v="2"/>
    <s v="Mobile"/>
    <n v="-9.5714285714285996"/>
    <n v="553878.57142857101"/>
    <n v="7300"/>
    <n v="546578.57142857101"/>
    <x v="0"/>
    <s v="Female"/>
  </r>
  <r>
    <n v="1097"/>
    <d v="2024-04-06T00:00:00"/>
    <x v="0"/>
    <x v="0"/>
    <x v="1"/>
    <s v="Grocery"/>
    <n v="-9.7142857142856993"/>
    <n v="559750"/>
    <n v="7360"/>
    <n v="552390"/>
    <x v="0"/>
    <s v="Male"/>
  </r>
  <r>
    <n v="1098"/>
    <d v="2024-04-07T00:00:00"/>
    <x v="1"/>
    <x v="1"/>
    <x v="2"/>
    <s v="Electronics"/>
    <n v="-9.8571428571429003"/>
    <n v="565621.42857142806"/>
    <n v="7420"/>
    <n v="558201.42857142806"/>
    <x v="2"/>
    <s v="Female"/>
  </r>
  <r>
    <n v="1099"/>
    <d v="2024-04-08T00:00:00"/>
    <x v="2"/>
    <x v="2"/>
    <x v="0"/>
    <s v="Jeans"/>
    <n v="-10"/>
    <n v="571492.85714285704"/>
    <n v="7480"/>
    <n v="564012.85714285704"/>
    <x v="1"/>
    <s v="Male"/>
  </r>
  <r>
    <n v="1100"/>
    <d v="2024-04-09T00:00:00"/>
    <x v="3"/>
    <x v="3"/>
    <x v="0"/>
    <s v="Shoes"/>
    <n v="-10.1428571428571"/>
    <n v="577364.28571428603"/>
    <n v="7540"/>
    <n v="569824.28571428603"/>
    <x v="0"/>
    <s v="Fem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68728-23B4-47C5-A708-4811516FFE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49" firstHeaderRow="1" firstDataRow="1" firstDataCol="1"/>
  <pivotFields count="12">
    <pivotField showAll="0"/>
    <pivotField numFmtId="14" showAll="0"/>
    <pivotField showAll="0">
      <items count="5">
        <item x="0"/>
        <item x="1"/>
        <item x="2"/>
        <item x="3"/>
        <item t="default"/>
      </items>
    </pivotField>
    <pivotField showAll="0">
      <items count="5">
        <item x="2"/>
        <item x="0"/>
        <item x="1"/>
        <item x="3"/>
        <item t="default"/>
      </items>
    </pivotField>
    <pivotField showAll="0">
      <items count="4">
        <item x="1"/>
        <item x="2"/>
        <item x="0"/>
        <item t="default"/>
      </items>
    </pivotField>
    <pivotField showAll="0"/>
    <pivotField showAll="0"/>
    <pivotField dataField="1" showAll="0"/>
    <pivotField showAll="0"/>
    <pivotField showAll="0"/>
    <pivotField axis="axisRow" showAll="0">
      <items count="4">
        <item x="2"/>
        <item x="0"/>
        <item x="1"/>
        <item t="default"/>
      </items>
    </pivotField>
    <pivotField showAll="0"/>
  </pivotFields>
  <rowFields count="1">
    <field x="10"/>
  </rowFields>
  <rowItems count="4">
    <i>
      <x/>
    </i>
    <i>
      <x v="1"/>
    </i>
    <i>
      <x v="2"/>
    </i>
    <i t="grand">
      <x/>
    </i>
  </rowItems>
  <colItems count="1">
    <i/>
  </colItems>
  <dataFields count="1">
    <dataField name="Sum of Sales" fld="7" baseField="0" baseItem="0" numFmtId="164"/>
  </dataFields>
  <formats count="1">
    <format dxfId="0">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1"/>
          </reference>
        </references>
      </pivotArea>
    </chartFormat>
    <chartFormat chart="6"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09397-4007-45EA-BEF7-40F953080B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19" firstHeaderRow="1" firstDataRow="1" firstDataCol="1"/>
  <pivotFields count="12">
    <pivotField showAll="0"/>
    <pivotField numFmtId="14" showAll="0"/>
    <pivotField showAll="0">
      <items count="5">
        <item x="0"/>
        <item x="1"/>
        <item x="2"/>
        <item x="3"/>
        <item t="default"/>
      </items>
    </pivotField>
    <pivotField showAll="0">
      <items count="5">
        <item x="2"/>
        <item x="0"/>
        <item x="1"/>
        <item x="3"/>
        <item t="default"/>
      </items>
    </pivotField>
    <pivotField axis="axisRow" showAll="0">
      <items count="4">
        <item x="1"/>
        <item x="2"/>
        <item x="0"/>
        <item t="default"/>
      </items>
    </pivotField>
    <pivotField showAll="0"/>
    <pivotField showAll="0"/>
    <pivotField dataField="1" showAll="0"/>
    <pivotField showAll="0"/>
    <pivotField showAll="0"/>
    <pivotField showAll="0">
      <items count="4">
        <item x="2"/>
        <item x="0"/>
        <item x="1"/>
        <item t="default"/>
      </items>
    </pivotField>
    <pivotField showAll="0"/>
  </pivotFields>
  <rowFields count="1">
    <field x="4"/>
  </rowFields>
  <rowItems count="4">
    <i>
      <x/>
    </i>
    <i>
      <x v="1"/>
    </i>
    <i>
      <x v="2"/>
    </i>
    <i t="grand">
      <x/>
    </i>
  </rowItems>
  <colItems count="1">
    <i/>
  </colItems>
  <dataFields count="1">
    <dataField name="Sum of Sales" fld="7" baseField="0" baseItem="0" numFmtId="164"/>
  </dataFields>
  <formats count="1">
    <format dxfId="1">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997FF-55E7-4934-AC19-16EEB07977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0:B35" firstHeaderRow="1" firstDataRow="1" firstDataCol="1"/>
  <pivotFields count="12">
    <pivotField showAll="0"/>
    <pivotField numFmtId="14" showAll="0"/>
    <pivotField axis="axisRow" showAll="0">
      <items count="5">
        <item x="0"/>
        <item x="1"/>
        <item x="2"/>
        <item x="3"/>
        <item t="default"/>
      </items>
    </pivotField>
    <pivotField showAll="0">
      <items count="5">
        <item x="2"/>
        <item x="0"/>
        <item x="1"/>
        <item x="3"/>
        <item t="default"/>
      </items>
    </pivotField>
    <pivotField showAll="0">
      <items count="4">
        <item x="1"/>
        <item x="2"/>
        <item x="0"/>
        <item t="default"/>
      </items>
    </pivotField>
    <pivotField showAll="0"/>
    <pivotField showAll="0"/>
    <pivotField showAll="0"/>
    <pivotField showAll="0"/>
    <pivotField dataField="1" showAll="0"/>
    <pivotField showAll="0">
      <items count="4">
        <item x="2"/>
        <item x="0"/>
        <item x="1"/>
        <item t="default"/>
      </items>
    </pivotField>
    <pivotField showAll="0"/>
  </pivotFields>
  <rowFields count="1">
    <field x="2"/>
  </rowFields>
  <rowItems count="5">
    <i>
      <x/>
    </i>
    <i>
      <x v="1"/>
    </i>
    <i>
      <x v="2"/>
    </i>
    <i>
      <x v="3"/>
    </i>
    <i t="grand">
      <x/>
    </i>
  </rowItems>
  <colItems count="1">
    <i/>
  </colItems>
  <dataFields count="1">
    <dataField name="Sum of Profit" fld="9" baseField="0" baseItem="0" numFmtId="164"/>
  </dataFields>
  <formats count="1">
    <format dxfId="2">
      <pivotArea outline="0" collapsedLevelsAreSubtotals="1" fieldPosition="0"/>
    </format>
  </format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0A51E5-8932-4E76-A3EC-7F774439F4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6" firstHeaderRow="1" firstDataRow="1" firstDataCol="1"/>
  <pivotFields count="12">
    <pivotField showAll="0"/>
    <pivotField numFmtId="14" showAll="0"/>
    <pivotField showAll="0">
      <items count="5">
        <item x="0"/>
        <item x="1"/>
        <item x="2"/>
        <item x="3"/>
        <item t="default"/>
      </items>
    </pivotField>
    <pivotField axis="axisRow" showAll="0">
      <items count="5">
        <item x="2"/>
        <item x="0"/>
        <item x="1"/>
        <item x="3"/>
        <item t="default"/>
      </items>
    </pivotField>
    <pivotField showAll="0">
      <items count="4">
        <item x="1"/>
        <item x="2"/>
        <item x="0"/>
        <item t="default"/>
      </items>
    </pivotField>
    <pivotField showAll="0"/>
    <pivotField showAll="0"/>
    <pivotField dataField="1" showAll="0"/>
    <pivotField showAll="0"/>
    <pivotField showAll="0"/>
    <pivotField showAll="0">
      <items count="4">
        <item x="2"/>
        <item x="0"/>
        <item x="1"/>
        <item t="default"/>
      </items>
    </pivotField>
    <pivotField showAll="0"/>
  </pivotFields>
  <rowFields count="1">
    <field x="3"/>
  </rowFields>
  <rowItems count="5">
    <i>
      <x/>
    </i>
    <i>
      <x v="1"/>
    </i>
    <i>
      <x v="2"/>
    </i>
    <i>
      <x v="3"/>
    </i>
    <i t="grand">
      <x/>
    </i>
  </rowItems>
  <colItems count="1">
    <i/>
  </colItems>
  <dataFields count="1">
    <dataField name="Sum of Sales" fld="7" baseField="0" baseItem="0" numFmtId="164"/>
  </dataFields>
  <formats count="1">
    <format dxfId="3">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626EC98E-3B04-4CF7-8F12-8C06470CA755}" sourceName="Store_Name">
  <pivotTables>
    <pivotTable tabId="3" name="PivotTable1"/>
    <pivotTable tabId="3" name="PivotTable4"/>
    <pivotTable tabId="3" name="PivotTable5"/>
    <pivotTable tabId="3" name="PivotTable6"/>
  </pivotTables>
  <data>
    <tabular pivotCacheId="33620270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4D7C53-747A-4DB6-ABB5-06690ECEBC86}" sourceName="Region">
  <pivotTables>
    <pivotTable tabId="3" name="PivotTable1"/>
    <pivotTable tabId="3" name="PivotTable4"/>
    <pivotTable tabId="3" name="PivotTable5"/>
    <pivotTable tabId="3" name="PivotTable6"/>
  </pivotTables>
  <data>
    <tabular pivotCacheId="33620270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agory" xr10:uid="{874EF4F6-3E55-4383-9A23-CA5A039699D5}" sourceName="Product_Catagory">
  <pivotTables>
    <pivotTable tabId="3" name="PivotTable1"/>
    <pivotTable tabId="3" name="PivotTable4"/>
    <pivotTable tabId="3" name="PivotTable5"/>
    <pivotTable tabId="3" name="PivotTable6"/>
  </pivotTables>
  <data>
    <tabular pivotCacheId="33620270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4208CAA-B74D-4160-944B-702B7B688DFB}" sourceName="Payment_Mode">
  <pivotTables>
    <pivotTable tabId="3" name="PivotTable1"/>
    <pivotTable tabId="3" name="PivotTable4"/>
    <pivotTable tabId="3" name="PivotTable5"/>
    <pivotTable tabId="3" name="PivotTable6"/>
  </pivotTables>
  <data>
    <tabular pivotCacheId="3362027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F3FEDA2B-5AB4-4CCA-B552-48CD0B2DB769}" cache="Slicer_Store_Name" caption="Store_Name" rowHeight="234950"/>
  <slicer name="Region" xr10:uid="{A963DB74-DE69-4A92-8CA3-C803A7DF81C5}" cache="Slicer_Region" caption="Region" rowHeight="234950"/>
  <slicer name="Product_Catagory" xr10:uid="{3D415EB9-D30E-47E1-BA85-34E00A525784}" cache="Slicer_Product_Catagory" caption="Product_Catagory" rowHeight="234950"/>
  <slicer name="Payment_Mode" xr10:uid="{B6133E1B-9A4B-41B1-AFC0-47A59EBAF505}" cache="Slicer_Payment_Mode" caption="Payment_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BFD80B-0F0D-42DE-A186-8A7346E390C1}" name="Retail_Table" displayName="Retail_Table" ref="A1:L101" totalsRowShown="0" headerRowDxfId="6">
  <autoFilter ref="A1:L101" xr:uid="{C8BFD80B-0F0D-42DE-A186-8A7346E390C1}"/>
  <tableColumns count="12">
    <tableColumn id="1" xr3:uid="{F338FA94-85B4-4328-83DA-F13BCC7B3D16}" name="Order_ID"/>
    <tableColumn id="2" xr3:uid="{88B32633-889C-471C-96E8-6F42AB8B5CAB}" name="Order_Date" dataDxfId="5"/>
    <tableColumn id="3" xr3:uid="{9AD2A858-D958-42EC-A86B-D1D3FFBF4717}" name="Store_Name"/>
    <tableColumn id="4" xr3:uid="{F6E798ED-75DD-4F8C-9260-91A36ABC54E1}" name="Region"/>
    <tableColumn id="5" xr3:uid="{E703B3ED-0F1B-4DDC-84CF-C6CBB8344133}" name="Product_Catagory"/>
    <tableColumn id="6" xr3:uid="{78DA5AC9-2C40-49D1-8476-30B78F7709C4}" name="Product_Name"/>
    <tableColumn id="7" xr3:uid="{3B5C2629-5BE2-4AD7-955A-11C1BDC25392}" name="Quantity"/>
    <tableColumn id="8" xr3:uid="{B24BF412-6468-4626-8DFB-1F8572277963}" name="Sales"/>
    <tableColumn id="9" xr3:uid="{4BB84B65-5799-4D25-AFE7-A25887D74941}" name="Cost"/>
    <tableColumn id="10" xr3:uid="{8ACEF08F-595C-46DB-9C04-B5E721EF3E6E}" name="Profit">
      <calculatedColumnFormula>H2-I2</calculatedColumnFormula>
    </tableColumn>
    <tableColumn id="11" xr3:uid="{61F1145B-DA08-44C2-97AE-E32865284AED}" name="Payment_Mode"/>
    <tableColumn id="12" xr3:uid="{2436700B-CD50-4572-A9AE-B262A26CED9B}" name="Customer_Gen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052785-77ED-45D2-80A9-2948FE48BF40}" name="Table2" displayName="Table2" ref="A1:B6" totalsRowShown="0" headerRowDxfId="4">
  <autoFilter ref="A1:B6" xr:uid="{E1052785-77ED-45D2-80A9-2948FE48BF40}"/>
  <tableColumns count="2">
    <tableColumn id="1" xr3:uid="{D631850E-56BC-4525-BC20-A435DA9E1F1F}" name="KPI"/>
    <tableColumn id="2" xr3:uid="{676C8D4F-7F28-4D11-8537-FE4280E00798}" name="Formul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CF45A-9AA0-4448-AA95-911BC7F34089}">
  <dimension ref="A1:L201"/>
  <sheetViews>
    <sheetView workbookViewId="0">
      <selection activeCell="B14" sqref="B14"/>
    </sheetView>
  </sheetViews>
  <sheetFormatPr defaultRowHeight="14.4" x14ac:dyDescent="0.3"/>
  <cols>
    <col min="1" max="1" width="18.5546875" customWidth="1"/>
    <col min="2" max="2" width="22" customWidth="1"/>
    <col min="3" max="3" width="20.6640625" customWidth="1"/>
    <col min="4" max="4" width="14.5546875" customWidth="1"/>
    <col min="5" max="5" width="28.33203125" customWidth="1"/>
    <col min="6" max="6" width="25.6640625" customWidth="1"/>
    <col min="7" max="7" width="16.88671875" customWidth="1"/>
    <col min="8" max="8" width="14" customWidth="1"/>
    <col min="9" max="9" width="13.33203125" customWidth="1"/>
    <col min="10" max="10" width="14" customWidth="1"/>
    <col min="11" max="11" width="27.33203125" customWidth="1"/>
    <col min="12" max="12" width="29.88671875" customWidth="1"/>
    <col min="13" max="13" width="8.88671875" customWidth="1"/>
  </cols>
  <sheetData>
    <row r="1" spans="1:12" ht="21" x14ac:dyDescent="0.3">
      <c r="A1" s="2" t="s">
        <v>0</v>
      </c>
      <c r="B1" s="2" t="s">
        <v>1</v>
      </c>
      <c r="C1" s="2" t="s">
        <v>2</v>
      </c>
      <c r="D1" s="2" t="s">
        <v>15</v>
      </c>
      <c r="E1" s="2" t="s">
        <v>16</v>
      </c>
      <c r="F1" s="2" t="s">
        <v>3</v>
      </c>
      <c r="G1" s="2" t="s">
        <v>17</v>
      </c>
      <c r="H1" s="2" t="s">
        <v>4</v>
      </c>
      <c r="I1" s="2" t="s">
        <v>5</v>
      </c>
      <c r="J1" s="2" t="s">
        <v>6</v>
      </c>
      <c r="K1" s="2" t="s">
        <v>18</v>
      </c>
      <c r="L1" s="2" t="s">
        <v>19</v>
      </c>
    </row>
    <row r="2" spans="1:12" x14ac:dyDescent="0.3">
      <c r="A2">
        <v>1001</v>
      </c>
      <c r="B2" s="1">
        <v>45292</v>
      </c>
      <c r="C2" t="s">
        <v>20</v>
      </c>
      <c r="D2" t="s">
        <v>24</v>
      </c>
      <c r="E2" t="s">
        <v>13</v>
      </c>
      <c r="F2" t="s">
        <v>9</v>
      </c>
      <c r="G2">
        <v>3</v>
      </c>
      <c r="H2">
        <v>2500</v>
      </c>
      <c r="I2">
        <v>1300</v>
      </c>
      <c r="J2">
        <f>H2-I2</f>
        <v>1200</v>
      </c>
      <c r="K2" t="s">
        <v>30</v>
      </c>
      <c r="L2" t="s">
        <v>28</v>
      </c>
    </row>
    <row r="3" spans="1:12" x14ac:dyDescent="0.3">
      <c r="A3">
        <v>1002</v>
      </c>
      <c r="B3" s="1">
        <v>45293</v>
      </c>
      <c r="C3" t="s">
        <v>21</v>
      </c>
      <c r="D3" t="s">
        <v>25</v>
      </c>
      <c r="E3" t="s">
        <v>12</v>
      </c>
      <c r="F3" t="s">
        <v>8</v>
      </c>
      <c r="G3">
        <v>5</v>
      </c>
      <c r="H3">
        <v>1200</v>
      </c>
      <c r="I3">
        <v>200</v>
      </c>
      <c r="J3">
        <f t="shared" ref="J3:J66" si="0">H3-I3</f>
        <v>1000</v>
      </c>
      <c r="K3" t="s">
        <v>32</v>
      </c>
      <c r="L3" t="s">
        <v>29</v>
      </c>
    </row>
    <row r="4" spans="1:12" x14ac:dyDescent="0.3">
      <c r="A4">
        <v>1003</v>
      </c>
      <c r="B4" s="1">
        <v>45294</v>
      </c>
      <c r="C4" t="s">
        <v>22</v>
      </c>
      <c r="D4" t="s">
        <v>26</v>
      </c>
      <c r="E4" t="s">
        <v>14</v>
      </c>
      <c r="F4" t="s">
        <v>10</v>
      </c>
      <c r="G4">
        <v>2</v>
      </c>
      <c r="H4">
        <v>15000</v>
      </c>
      <c r="I4">
        <v>1200</v>
      </c>
      <c r="J4">
        <f t="shared" si="0"/>
        <v>13800</v>
      </c>
      <c r="K4" t="s">
        <v>31</v>
      </c>
      <c r="L4" t="s">
        <v>29</v>
      </c>
    </row>
    <row r="5" spans="1:12" x14ac:dyDescent="0.3">
      <c r="A5">
        <v>1004</v>
      </c>
      <c r="B5" s="1">
        <v>45295</v>
      </c>
      <c r="C5" t="s">
        <v>23</v>
      </c>
      <c r="D5" t="s">
        <v>27</v>
      </c>
      <c r="E5" t="s">
        <v>12</v>
      </c>
      <c r="F5" t="s">
        <v>11</v>
      </c>
      <c r="G5">
        <v>5</v>
      </c>
      <c r="H5">
        <v>3000</v>
      </c>
      <c r="I5">
        <v>300</v>
      </c>
      <c r="J5">
        <f t="shared" si="0"/>
        <v>2700</v>
      </c>
      <c r="K5" t="s">
        <v>30</v>
      </c>
      <c r="L5" t="s">
        <v>28</v>
      </c>
    </row>
    <row r="6" spans="1:12" x14ac:dyDescent="0.3">
      <c r="A6">
        <v>1005</v>
      </c>
      <c r="B6" s="1">
        <v>45296</v>
      </c>
      <c r="C6" t="s">
        <v>20</v>
      </c>
      <c r="D6" t="s">
        <v>24</v>
      </c>
      <c r="E6" t="s">
        <v>13</v>
      </c>
      <c r="F6" t="s">
        <v>7</v>
      </c>
      <c r="G6">
        <v>6</v>
      </c>
      <c r="H6">
        <v>4200</v>
      </c>
      <c r="I6">
        <v>1100</v>
      </c>
      <c r="J6">
        <f t="shared" si="0"/>
        <v>3100</v>
      </c>
      <c r="K6" t="s">
        <v>32</v>
      </c>
      <c r="L6" t="s">
        <v>28</v>
      </c>
    </row>
    <row r="7" spans="1:12" x14ac:dyDescent="0.3">
      <c r="A7">
        <v>1006</v>
      </c>
      <c r="B7" s="1">
        <v>45297</v>
      </c>
      <c r="C7" t="s">
        <v>21</v>
      </c>
      <c r="D7" t="s">
        <v>25</v>
      </c>
      <c r="E7" t="s">
        <v>14</v>
      </c>
      <c r="F7" t="s">
        <v>13</v>
      </c>
      <c r="G7">
        <v>1</v>
      </c>
      <c r="H7">
        <v>25050</v>
      </c>
      <c r="I7">
        <v>1900</v>
      </c>
      <c r="J7">
        <f t="shared" si="0"/>
        <v>23150</v>
      </c>
      <c r="K7" t="s">
        <v>30</v>
      </c>
      <c r="L7" t="s">
        <v>29</v>
      </c>
    </row>
    <row r="8" spans="1:12" x14ac:dyDescent="0.3">
      <c r="A8">
        <v>1007</v>
      </c>
      <c r="B8" s="1">
        <v>45298</v>
      </c>
      <c r="C8" t="s">
        <v>22</v>
      </c>
      <c r="D8" t="s">
        <v>26</v>
      </c>
      <c r="E8" t="s">
        <v>12</v>
      </c>
      <c r="F8" t="s">
        <v>12</v>
      </c>
      <c r="G8">
        <v>3</v>
      </c>
      <c r="H8">
        <v>45000</v>
      </c>
      <c r="I8">
        <v>1960</v>
      </c>
      <c r="J8">
        <f t="shared" si="0"/>
        <v>43040</v>
      </c>
      <c r="K8" t="s">
        <v>30</v>
      </c>
      <c r="L8" t="s">
        <v>28</v>
      </c>
    </row>
    <row r="9" spans="1:12" x14ac:dyDescent="0.3">
      <c r="A9">
        <v>1008</v>
      </c>
      <c r="B9" s="1">
        <v>45299</v>
      </c>
      <c r="C9" t="s">
        <v>23</v>
      </c>
      <c r="D9" t="s">
        <v>27</v>
      </c>
      <c r="E9" t="s">
        <v>14</v>
      </c>
      <c r="F9" t="s">
        <v>9</v>
      </c>
      <c r="G9">
        <v>3</v>
      </c>
      <c r="H9">
        <v>37192.857142857101</v>
      </c>
      <c r="I9">
        <v>2020</v>
      </c>
      <c r="J9">
        <f t="shared" si="0"/>
        <v>35172.857142857101</v>
      </c>
      <c r="K9" t="s">
        <v>31</v>
      </c>
      <c r="L9" t="s">
        <v>29</v>
      </c>
    </row>
    <row r="10" spans="1:12" x14ac:dyDescent="0.3">
      <c r="A10">
        <v>1009</v>
      </c>
      <c r="B10" s="1">
        <v>45300</v>
      </c>
      <c r="C10" t="s">
        <v>20</v>
      </c>
      <c r="D10" t="s">
        <v>24</v>
      </c>
      <c r="E10" t="s">
        <v>13</v>
      </c>
      <c r="F10" t="s">
        <v>8</v>
      </c>
      <c r="G10">
        <v>2.8571428571428599</v>
      </c>
      <c r="H10">
        <v>43064.285714285703</v>
      </c>
      <c r="I10">
        <v>2080</v>
      </c>
      <c r="J10">
        <f t="shared" si="0"/>
        <v>40984.285714285703</v>
      </c>
      <c r="K10" t="s">
        <v>32</v>
      </c>
      <c r="L10" t="s">
        <v>28</v>
      </c>
    </row>
    <row r="11" spans="1:12" x14ac:dyDescent="0.3">
      <c r="A11">
        <v>1010</v>
      </c>
      <c r="B11" s="1">
        <v>45301</v>
      </c>
      <c r="C11" t="s">
        <v>21</v>
      </c>
      <c r="D11" t="s">
        <v>25</v>
      </c>
      <c r="E11" t="s">
        <v>13</v>
      </c>
      <c r="F11" t="s">
        <v>10</v>
      </c>
      <c r="G11">
        <v>2.71428571428571</v>
      </c>
      <c r="H11">
        <v>48935.714285714203</v>
      </c>
      <c r="I11">
        <v>2140</v>
      </c>
      <c r="J11">
        <f t="shared" si="0"/>
        <v>46795.714285714203</v>
      </c>
      <c r="K11" t="s">
        <v>30</v>
      </c>
      <c r="L11" t="s">
        <v>29</v>
      </c>
    </row>
    <row r="12" spans="1:12" x14ac:dyDescent="0.3">
      <c r="A12">
        <v>1011</v>
      </c>
      <c r="B12" s="1">
        <v>45302</v>
      </c>
      <c r="C12" t="s">
        <v>22</v>
      </c>
      <c r="D12" t="s">
        <v>26</v>
      </c>
      <c r="E12" t="s">
        <v>12</v>
      </c>
      <c r="F12" t="s">
        <v>11</v>
      </c>
      <c r="G12">
        <v>2.5714285714285698</v>
      </c>
      <c r="H12">
        <v>54807.142857142797</v>
      </c>
      <c r="I12">
        <v>2200</v>
      </c>
      <c r="J12">
        <f t="shared" si="0"/>
        <v>52607.142857142797</v>
      </c>
      <c r="K12" t="s">
        <v>32</v>
      </c>
      <c r="L12" t="s">
        <v>28</v>
      </c>
    </row>
    <row r="13" spans="1:12" x14ac:dyDescent="0.3">
      <c r="A13">
        <v>1012</v>
      </c>
      <c r="B13" s="1">
        <v>45303</v>
      </c>
      <c r="C13" t="s">
        <v>23</v>
      </c>
      <c r="D13" t="s">
        <v>27</v>
      </c>
      <c r="E13" t="s">
        <v>14</v>
      </c>
      <c r="F13" t="s">
        <v>7</v>
      </c>
      <c r="G13">
        <v>2.4285714285714302</v>
      </c>
      <c r="H13">
        <v>60678.571428571398</v>
      </c>
      <c r="I13">
        <v>2260</v>
      </c>
      <c r="J13">
        <f t="shared" si="0"/>
        <v>58418.571428571398</v>
      </c>
      <c r="K13" t="s">
        <v>31</v>
      </c>
      <c r="L13" t="s">
        <v>29</v>
      </c>
    </row>
    <row r="14" spans="1:12" x14ac:dyDescent="0.3">
      <c r="A14">
        <v>1013</v>
      </c>
      <c r="B14" s="1">
        <v>45304</v>
      </c>
      <c r="C14" t="s">
        <v>20</v>
      </c>
      <c r="D14" t="s">
        <v>24</v>
      </c>
      <c r="E14" t="s">
        <v>12</v>
      </c>
      <c r="F14" t="s">
        <v>13</v>
      </c>
      <c r="G14">
        <v>2.28571428571429</v>
      </c>
      <c r="H14">
        <v>66549.999999999898</v>
      </c>
      <c r="I14">
        <v>2320</v>
      </c>
      <c r="J14">
        <f t="shared" si="0"/>
        <v>64229.999999999898</v>
      </c>
      <c r="K14" t="s">
        <v>30</v>
      </c>
      <c r="L14" t="s">
        <v>29</v>
      </c>
    </row>
    <row r="15" spans="1:12" x14ac:dyDescent="0.3">
      <c r="A15">
        <v>1014</v>
      </c>
      <c r="B15" s="1">
        <v>45305</v>
      </c>
      <c r="C15" t="s">
        <v>21</v>
      </c>
      <c r="D15" t="s">
        <v>25</v>
      </c>
      <c r="E15" t="s">
        <v>13</v>
      </c>
      <c r="F15" t="s">
        <v>12</v>
      </c>
      <c r="G15">
        <v>2.1428571428571401</v>
      </c>
      <c r="H15">
        <v>72421.428571428594</v>
      </c>
      <c r="I15">
        <v>2380</v>
      </c>
      <c r="J15">
        <f t="shared" si="0"/>
        <v>70041.428571428594</v>
      </c>
      <c r="K15" t="s">
        <v>32</v>
      </c>
      <c r="L15" t="s">
        <v>28</v>
      </c>
    </row>
    <row r="16" spans="1:12" x14ac:dyDescent="0.3">
      <c r="A16">
        <v>1015</v>
      </c>
      <c r="B16" s="1">
        <v>45306</v>
      </c>
      <c r="C16" t="s">
        <v>22</v>
      </c>
      <c r="D16" t="s">
        <v>26</v>
      </c>
      <c r="E16" t="s">
        <v>14</v>
      </c>
      <c r="F16" t="s">
        <v>9</v>
      </c>
      <c r="G16">
        <v>2</v>
      </c>
      <c r="H16">
        <v>78292.857142857101</v>
      </c>
      <c r="I16">
        <v>2440</v>
      </c>
      <c r="J16">
        <f t="shared" si="0"/>
        <v>75852.857142857101</v>
      </c>
      <c r="K16" t="s">
        <v>30</v>
      </c>
      <c r="L16" t="s">
        <v>28</v>
      </c>
    </row>
    <row r="17" spans="1:12" x14ac:dyDescent="0.3">
      <c r="A17">
        <v>1016</v>
      </c>
      <c r="B17" s="1">
        <v>45307</v>
      </c>
      <c r="C17" t="s">
        <v>23</v>
      </c>
      <c r="D17" t="s">
        <v>27</v>
      </c>
      <c r="E17" t="s">
        <v>12</v>
      </c>
      <c r="F17" t="s">
        <v>8</v>
      </c>
      <c r="G17">
        <v>1.8571428571428601</v>
      </c>
      <c r="H17">
        <v>84164.285714285696</v>
      </c>
      <c r="I17">
        <v>2500</v>
      </c>
      <c r="J17">
        <f t="shared" si="0"/>
        <v>81664.285714285696</v>
      </c>
      <c r="K17" t="s">
        <v>30</v>
      </c>
      <c r="L17" t="s">
        <v>29</v>
      </c>
    </row>
    <row r="18" spans="1:12" x14ac:dyDescent="0.3">
      <c r="A18">
        <v>1017</v>
      </c>
      <c r="B18" s="1">
        <v>45308</v>
      </c>
      <c r="C18" t="s">
        <v>20</v>
      </c>
      <c r="D18" t="s">
        <v>24</v>
      </c>
      <c r="E18" t="s">
        <v>14</v>
      </c>
      <c r="F18" t="s">
        <v>10</v>
      </c>
      <c r="G18">
        <v>1.71428571428572</v>
      </c>
      <c r="H18">
        <v>90035.714285714203</v>
      </c>
      <c r="I18">
        <v>2560</v>
      </c>
      <c r="J18">
        <f t="shared" si="0"/>
        <v>87475.714285714203</v>
      </c>
      <c r="K18" t="s">
        <v>31</v>
      </c>
      <c r="L18" t="s">
        <v>28</v>
      </c>
    </row>
    <row r="19" spans="1:12" x14ac:dyDescent="0.3">
      <c r="A19">
        <v>1018</v>
      </c>
      <c r="B19" s="1">
        <v>45309</v>
      </c>
      <c r="C19" t="s">
        <v>21</v>
      </c>
      <c r="D19" t="s">
        <v>25</v>
      </c>
      <c r="E19" t="s">
        <v>13</v>
      </c>
      <c r="F19" t="s">
        <v>11</v>
      </c>
      <c r="G19">
        <v>1.5714285714285701</v>
      </c>
      <c r="H19">
        <v>95907.142857142797</v>
      </c>
      <c r="I19">
        <v>2620</v>
      </c>
      <c r="J19">
        <f t="shared" si="0"/>
        <v>93287.142857142797</v>
      </c>
      <c r="K19" t="s">
        <v>32</v>
      </c>
      <c r="L19" t="s">
        <v>29</v>
      </c>
    </row>
    <row r="20" spans="1:12" x14ac:dyDescent="0.3">
      <c r="A20">
        <v>1019</v>
      </c>
      <c r="B20" s="1">
        <v>45310</v>
      </c>
      <c r="C20" t="s">
        <v>22</v>
      </c>
      <c r="D20" t="s">
        <v>26</v>
      </c>
      <c r="E20" t="s">
        <v>13</v>
      </c>
      <c r="F20" t="s">
        <v>7</v>
      </c>
      <c r="G20">
        <v>1.4285714285714299</v>
      </c>
      <c r="H20">
        <v>101778.571428571</v>
      </c>
      <c r="I20">
        <v>2680</v>
      </c>
      <c r="J20">
        <f t="shared" si="0"/>
        <v>99098.571428570998</v>
      </c>
      <c r="K20" t="s">
        <v>30</v>
      </c>
      <c r="L20" t="s">
        <v>28</v>
      </c>
    </row>
    <row r="21" spans="1:12" x14ac:dyDescent="0.3">
      <c r="A21">
        <v>1020</v>
      </c>
      <c r="B21" s="1">
        <v>45311</v>
      </c>
      <c r="C21" t="s">
        <v>23</v>
      </c>
      <c r="D21" t="s">
        <v>27</v>
      </c>
      <c r="E21" t="s">
        <v>12</v>
      </c>
      <c r="F21" t="s">
        <v>13</v>
      </c>
      <c r="G21">
        <v>1.28571428571429</v>
      </c>
      <c r="H21">
        <v>107650</v>
      </c>
      <c r="I21">
        <v>2740</v>
      </c>
      <c r="J21">
        <f t="shared" si="0"/>
        <v>104910</v>
      </c>
      <c r="K21" t="s">
        <v>32</v>
      </c>
      <c r="L21" t="s">
        <v>29</v>
      </c>
    </row>
    <row r="22" spans="1:12" x14ac:dyDescent="0.3">
      <c r="A22">
        <v>1021</v>
      </c>
      <c r="B22" s="1">
        <v>45312</v>
      </c>
      <c r="C22" t="s">
        <v>20</v>
      </c>
      <c r="D22" t="s">
        <v>24</v>
      </c>
      <c r="E22" t="s">
        <v>14</v>
      </c>
      <c r="F22" t="s">
        <v>12</v>
      </c>
      <c r="G22">
        <v>1.1428571428571399</v>
      </c>
      <c r="H22">
        <v>113521.428571428</v>
      </c>
      <c r="I22">
        <v>2800</v>
      </c>
      <c r="J22">
        <f t="shared" si="0"/>
        <v>110721.428571428</v>
      </c>
      <c r="K22" t="s">
        <v>31</v>
      </c>
      <c r="L22" t="s">
        <v>28</v>
      </c>
    </row>
    <row r="23" spans="1:12" x14ac:dyDescent="0.3">
      <c r="A23">
        <v>1022</v>
      </c>
      <c r="B23" s="1">
        <v>45313</v>
      </c>
      <c r="C23" t="s">
        <v>21</v>
      </c>
      <c r="D23" t="s">
        <v>25</v>
      </c>
      <c r="E23" t="s">
        <v>12</v>
      </c>
      <c r="F23" t="s">
        <v>9</v>
      </c>
      <c r="G23">
        <v>1</v>
      </c>
      <c r="H23">
        <v>119392.857142857</v>
      </c>
      <c r="I23">
        <v>2860</v>
      </c>
      <c r="J23">
        <f t="shared" si="0"/>
        <v>116532.857142857</v>
      </c>
      <c r="K23" t="s">
        <v>30</v>
      </c>
      <c r="L23" t="s">
        <v>29</v>
      </c>
    </row>
    <row r="24" spans="1:12" x14ac:dyDescent="0.3">
      <c r="A24">
        <v>1023</v>
      </c>
      <c r="B24" s="1">
        <v>45314</v>
      </c>
      <c r="C24" t="s">
        <v>22</v>
      </c>
      <c r="D24" t="s">
        <v>26</v>
      </c>
      <c r="E24" t="s">
        <v>13</v>
      </c>
      <c r="F24" t="s">
        <v>8</v>
      </c>
      <c r="G24">
        <v>0.85714285714285898</v>
      </c>
      <c r="H24">
        <v>125264.285714286</v>
      </c>
      <c r="I24">
        <v>2920</v>
      </c>
      <c r="J24">
        <f t="shared" si="0"/>
        <v>122344.285714286</v>
      </c>
      <c r="K24" t="s">
        <v>32</v>
      </c>
      <c r="L24" t="s">
        <v>29</v>
      </c>
    </row>
    <row r="25" spans="1:12" x14ac:dyDescent="0.3">
      <c r="A25">
        <v>1024</v>
      </c>
      <c r="B25" s="1">
        <v>45315</v>
      </c>
      <c r="C25" t="s">
        <v>23</v>
      </c>
      <c r="D25" t="s">
        <v>27</v>
      </c>
      <c r="E25" t="s">
        <v>14</v>
      </c>
      <c r="F25" t="s">
        <v>10</v>
      </c>
      <c r="G25">
        <v>0.71428571428571996</v>
      </c>
      <c r="H25">
        <v>131135.714285714</v>
      </c>
      <c r="I25">
        <v>2980</v>
      </c>
      <c r="J25">
        <f t="shared" si="0"/>
        <v>128155.714285714</v>
      </c>
      <c r="K25" t="s">
        <v>30</v>
      </c>
      <c r="L25" t="s">
        <v>28</v>
      </c>
    </row>
    <row r="26" spans="1:12" x14ac:dyDescent="0.3">
      <c r="A26">
        <v>1025</v>
      </c>
      <c r="B26" s="1">
        <v>45316</v>
      </c>
      <c r="C26" t="s">
        <v>20</v>
      </c>
      <c r="D26" t="s">
        <v>24</v>
      </c>
      <c r="E26" t="s">
        <v>12</v>
      </c>
      <c r="F26" t="s">
        <v>11</v>
      </c>
      <c r="G26">
        <v>0.57142857142856895</v>
      </c>
      <c r="H26">
        <v>137007.14285714299</v>
      </c>
      <c r="I26">
        <v>3040</v>
      </c>
      <c r="J26">
        <f t="shared" si="0"/>
        <v>133967.14285714299</v>
      </c>
      <c r="K26" t="s">
        <v>30</v>
      </c>
      <c r="L26" t="s">
        <v>28</v>
      </c>
    </row>
    <row r="27" spans="1:12" x14ac:dyDescent="0.3">
      <c r="A27">
        <v>1026</v>
      </c>
      <c r="B27" s="1">
        <v>45317</v>
      </c>
      <c r="C27" t="s">
        <v>21</v>
      </c>
      <c r="D27" t="s">
        <v>25</v>
      </c>
      <c r="E27" t="s">
        <v>14</v>
      </c>
      <c r="F27" t="s">
        <v>7</v>
      </c>
      <c r="G27">
        <v>0.42857142857142999</v>
      </c>
      <c r="H27">
        <v>142878.57142857101</v>
      </c>
      <c r="I27">
        <v>3100</v>
      </c>
      <c r="J27">
        <f t="shared" si="0"/>
        <v>139778.57142857101</v>
      </c>
      <c r="K27" t="s">
        <v>31</v>
      </c>
      <c r="L27" t="s">
        <v>29</v>
      </c>
    </row>
    <row r="28" spans="1:12" x14ac:dyDescent="0.3">
      <c r="A28">
        <v>1027</v>
      </c>
      <c r="B28" s="1">
        <v>45318</v>
      </c>
      <c r="C28" t="s">
        <v>22</v>
      </c>
      <c r="D28" t="s">
        <v>26</v>
      </c>
      <c r="E28" t="s">
        <v>13</v>
      </c>
      <c r="F28" t="s">
        <v>13</v>
      </c>
      <c r="G28">
        <v>0.28571428571428997</v>
      </c>
      <c r="H28">
        <v>148750</v>
      </c>
      <c r="I28">
        <v>3160</v>
      </c>
      <c r="J28">
        <f t="shared" si="0"/>
        <v>145590</v>
      </c>
      <c r="K28" t="s">
        <v>32</v>
      </c>
      <c r="L28" t="s">
        <v>28</v>
      </c>
    </row>
    <row r="29" spans="1:12" x14ac:dyDescent="0.3">
      <c r="A29">
        <v>1028</v>
      </c>
      <c r="B29" s="1">
        <v>45319</v>
      </c>
      <c r="C29" t="s">
        <v>23</v>
      </c>
      <c r="D29" t="s">
        <v>27</v>
      </c>
      <c r="E29" t="s">
        <v>13</v>
      </c>
      <c r="F29" t="s">
        <v>12</v>
      </c>
      <c r="G29">
        <v>0.14285714285713999</v>
      </c>
      <c r="H29">
        <v>154621.428571428</v>
      </c>
      <c r="I29">
        <v>3220</v>
      </c>
      <c r="J29">
        <f t="shared" si="0"/>
        <v>151401.428571428</v>
      </c>
      <c r="K29" t="s">
        <v>30</v>
      </c>
      <c r="L29" t="s">
        <v>29</v>
      </c>
    </row>
    <row r="30" spans="1:12" x14ac:dyDescent="0.3">
      <c r="A30">
        <v>1029</v>
      </c>
      <c r="B30" s="1">
        <v>45320</v>
      </c>
      <c r="C30" t="s">
        <v>20</v>
      </c>
      <c r="D30" t="s">
        <v>24</v>
      </c>
      <c r="E30" t="s">
        <v>12</v>
      </c>
      <c r="F30" t="s">
        <v>9</v>
      </c>
      <c r="G30">
        <v>-4.4408920985006301E-16</v>
      </c>
      <c r="H30">
        <v>160492.85714285701</v>
      </c>
      <c r="I30">
        <v>3280</v>
      </c>
      <c r="J30">
        <f t="shared" si="0"/>
        <v>157212.85714285701</v>
      </c>
      <c r="K30" t="s">
        <v>32</v>
      </c>
      <c r="L30" t="s">
        <v>28</v>
      </c>
    </row>
    <row r="31" spans="1:12" x14ac:dyDescent="0.3">
      <c r="A31">
        <v>1030</v>
      </c>
      <c r="B31" s="1">
        <v>45321</v>
      </c>
      <c r="C31" t="s">
        <v>21</v>
      </c>
      <c r="D31" t="s">
        <v>25</v>
      </c>
      <c r="E31" t="s">
        <v>14</v>
      </c>
      <c r="F31" t="s">
        <v>8</v>
      </c>
      <c r="G31">
        <v>-0.14285714285713999</v>
      </c>
      <c r="H31">
        <v>166364.285714286</v>
      </c>
      <c r="I31">
        <v>3340</v>
      </c>
      <c r="J31">
        <f t="shared" si="0"/>
        <v>163024.285714286</v>
      </c>
      <c r="K31" t="s">
        <v>31</v>
      </c>
      <c r="L31" t="s">
        <v>29</v>
      </c>
    </row>
    <row r="32" spans="1:12" x14ac:dyDescent="0.3">
      <c r="A32">
        <v>1031</v>
      </c>
      <c r="B32" s="1">
        <v>45322</v>
      </c>
      <c r="C32" t="s">
        <v>22</v>
      </c>
      <c r="D32" t="s">
        <v>26</v>
      </c>
      <c r="E32" t="s">
        <v>12</v>
      </c>
      <c r="F32" t="s">
        <v>10</v>
      </c>
      <c r="G32">
        <v>-0.28571428571428098</v>
      </c>
      <c r="H32">
        <v>172235.714285714</v>
      </c>
      <c r="I32">
        <v>3400</v>
      </c>
      <c r="J32">
        <f t="shared" si="0"/>
        <v>168835.714285714</v>
      </c>
      <c r="K32" t="s">
        <v>30</v>
      </c>
      <c r="L32" t="s">
        <v>28</v>
      </c>
    </row>
    <row r="33" spans="1:12" x14ac:dyDescent="0.3">
      <c r="A33">
        <v>1032</v>
      </c>
      <c r="B33" s="1">
        <v>45323</v>
      </c>
      <c r="C33" t="s">
        <v>23</v>
      </c>
      <c r="D33" t="s">
        <v>27</v>
      </c>
      <c r="E33" t="s">
        <v>13</v>
      </c>
      <c r="F33" t="s">
        <v>11</v>
      </c>
      <c r="G33">
        <v>-0.42857142857142999</v>
      </c>
      <c r="H33">
        <v>178107.14285714299</v>
      </c>
      <c r="I33">
        <v>3460</v>
      </c>
      <c r="J33">
        <f t="shared" si="0"/>
        <v>174647.14285714299</v>
      </c>
      <c r="K33" t="s">
        <v>32</v>
      </c>
      <c r="L33" t="s">
        <v>29</v>
      </c>
    </row>
    <row r="34" spans="1:12" x14ac:dyDescent="0.3">
      <c r="A34">
        <v>1033</v>
      </c>
      <c r="B34" s="1">
        <v>45324</v>
      </c>
      <c r="C34" t="s">
        <v>20</v>
      </c>
      <c r="D34" t="s">
        <v>24</v>
      </c>
      <c r="E34" t="s">
        <v>14</v>
      </c>
      <c r="F34" t="s">
        <v>7</v>
      </c>
      <c r="G34">
        <v>-0.57142857142857095</v>
      </c>
      <c r="H34">
        <v>183978.57142857101</v>
      </c>
      <c r="I34">
        <v>3520</v>
      </c>
      <c r="J34">
        <f t="shared" si="0"/>
        <v>180458.57142857101</v>
      </c>
      <c r="K34" t="s">
        <v>30</v>
      </c>
      <c r="L34" t="s">
        <v>29</v>
      </c>
    </row>
    <row r="35" spans="1:12" x14ac:dyDescent="0.3">
      <c r="A35">
        <v>1034</v>
      </c>
      <c r="B35" s="1">
        <v>45325</v>
      </c>
      <c r="C35" t="s">
        <v>21</v>
      </c>
      <c r="D35" t="s">
        <v>25</v>
      </c>
      <c r="E35" t="s">
        <v>12</v>
      </c>
      <c r="F35" t="s">
        <v>13</v>
      </c>
      <c r="G35">
        <v>-0.71428571428570997</v>
      </c>
      <c r="H35">
        <v>189850</v>
      </c>
      <c r="I35">
        <v>3580</v>
      </c>
      <c r="J35">
        <f t="shared" si="0"/>
        <v>186270</v>
      </c>
      <c r="K35" t="s">
        <v>30</v>
      </c>
      <c r="L35" t="s">
        <v>28</v>
      </c>
    </row>
    <row r="36" spans="1:12" x14ac:dyDescent="0.3">
      <c r="A36">
        <v>1035</v>
      </c>
      <c r="B36" s="1">
        <v>45326</v>
      </c>
      <c r="C36" t="s">
        <v>22</v>
      </c>
      <c r="D36" t="s">
        <v>26</v>
      </c>
      <c r="E36" t="s">
        <v>14</v>
      </c>
      <c r="F36" t="s">
        <v>12</v>
      </c>
      <c r="G36">
        <v>-0.85714285714284999</v>
      </c>
      <c r="H36">
        <v>195721.428571428</v>
      </c>
      <c r="I36">
        <v>3640</v>
      </c>
      <c r="J36">
        <f t="shared" si="0"/>
        <v>192081.428571428</v>
      </c>
      <c r="K36" t="s">
        <v>31</v>
      </c>
      <c r="L36" t="s">
        <v>28</v>
      </c>
    </row>
    <row r="37" spans="1:12" x14ac:dyDescent="0.3">
      <c r="A37">
        <v>1036</v>
      </c>
      <c r="B37" s="1">
        <v>45327</v>
      </c>
      <c r="C37" t="s">
        <v>23</v>
      </c>
      <c r="D37" t="s">
        <v>27</v>
      </c>
      <c r="E37" t="s">
        <v>13</v>
      </c>
      <c r="F37" t="s">
        <v>9</v>
      </c>
      <c r="G37">
        <v>-1</v>
      </c>
      <c r="H37">
        <v>201592.85714285701</v>
      </c>
      <c r="I37">
        <v>3700</v>
      </c>
      <c r="J37">
        <f t="shared" si="0"/>
        <v>197892.85714285701</v>
      </c>
      <c r="K37" t="s">
        <v>32</v>
      </c>
      <c r="L37" t="s">
        <v>29</v>
      </c>
    </row>
    <row r="38" spans="1:12" x14ac:dyDescent="0.3">
      <c r="A38">
        <v>1037</v>
      </c>
      <c r="B38" s="1">
        <v>45328</v>
      </c>
      <c r="C38" t="s">
        <v>20</v>
      </c>
      <c r="D38" t="s">
        <v>24</v>
      </c>
      <c r="E38" t="s">
        <v>13</v>
      </c>
      <c r="F38" t="s">
        <v>8</v>
      </c>
      <c r="G38">
        <v>-1.1428571428571399</v>
      </c>
      <c r="H38">
        <v>207464.285714286</v>
      </c>
      <c r="I38">
        <v>3760</v>
      </c>
      <c r="J38">
        <f t="shared" si="0"/>
        <v>203704.285714286</v>
      </c>
      <c r="K38" t="s">
        <v>30</v>
      </c>
      <c r="L38" t="s">
        <v>28</v>
      </c>
    </row>
    <row r="39" spans="1:12" x14ac:dyDescent="0.3">
      <c r="A39">
        <v>1038</v>
      </c>
      <c r="B39" s="1">
        <v>45329</v>
      </c>
      <c r="C39" t="s">
        <v>21</v>
      </c>
      <c r="D39" t="s">
        <v>25</v>
      </c>
      <c r="E39" t="s">
        <v>12</v>
      </c>
      <c r="F39" t="s">
        <v>10</v>
      </c>
      <c r="G39">
        <v>-1.28571428571428</v>
      </c>
      <c r="H39">
        <v>213335.714285714</v>
      </c>
      <c r="I39">
        <v>3820</v>
      </c>
      <c r="J39">
        <f t="shared" si="0"/>
        <v>209515.714285714</v>
      </c>
      <c r="K39" t="s">
        <v>32</v>
      </c>
      <c r="L39" t="s">
        <v>29</v>
      </c>
    </row>
    <row r="40" spans="1:12" x14ac:dyDescent="0.3">
      <c r="A40">
        <v>1039</v>
      </c>
      <c r="B40" s="1">
        <v>45330</v>
      </c>
      <c r="C40" t="s">
        <v>22</v>
      </c>
      <c r="D40" t="s">
        <v>26</v>
      </c>
      <c r="E40" t="s">
        <v>14</v>
      </c>
      <c r="F40" t="s">
        <v>11</v>
      </c>
      <c r="G40">
        <v>-1.4285714285714299</v>
      </c>
      <c r="H40">
        <v>219207.14285714299</v>
      </c>
      <c r="I40">
        <v>3880</v>
      </c>
      <c r="J40">
        <f t="shared" si="0"/>
        <v>215327.14285714299</v>
      </c>
      <c r="K40" t="s">
        <v>31</v>
      </c>
      <c r="L40" t="s">
        <v>28</v>
      </c>
    </row>
    <row r="41" spans="1:12" x14ac:dyDescent="0.3">
      <c r="A41">
        <v>1040</v>
      </c>
      <c r="B41" s="1">
        <v>45331</v>
      </c>
      <c r="C41" t="s">
        <v>23</v>
      </c>
      <c r="D41" t="s">
        <v>27</v>
      </c>
      <c r="E41" t="s">
        <v>12</v>
      </c>
      <c r="F41" t="s">
        <v>7</v>
      </c>
      <c r="G41">
        <v>-1.5714285714285701</v>
      </c>
      <c r="H41">
        <v>225078.57142857101</v>
      </c>
      <c r="I41">
        <v>3940</v>
      </c>
      <c r="J41">
        <f t="shared" si="0"/>
        <v>221138.57142857101</v>
      </c>
      <c r="K41" t="s">
        <v>30</v>
      </c>
      <c r="L41" t="s">
        <v>29</v>
      </c>
    </row>
    <row r="42" spans="1:12" x14ac:dyDescent="0.3">
      <c r="A42">
        <v>1041</v>
      </c>
      <c r="B42" s="1">
        <v>45332</v>
      </c>
      <c r="C42" t="s">
        <v>20</v>
      </c>
      <c r="D42" t="s">
        <v>24</v>
      </c>
      <c r="E42" t="s">
        <v>13</v>
      </c>
      <c r="F42" t="s">
        <v>13</v>
      </c>
      <c r="G42">
        <v>-1.71428571428571</v>
      </c>
      <c r="H42">
        <v>230950</v>
      </c>
      <c r="I42">
        <v>4000</v>
      </c>
      <c r="J42">
        <f t="shared" si="0"/>
        <v>226950</v>
      </c>
      <c r="K42" t="s">
        <v>32</v>
      </c>
      <c r="L42" t="s">
        <v>28</v>
      </c>
    </row>
    <row r="43" spans="1:12" x14ac:dyDescent="0.3">
      <c r="A43">
        <v>1042</v>
      </c>
      <c r="B43" s="1">
        <v>45333</v>
      </c>
      <c r="C43" t="s">
        <v>21</v>
      </c>
      <c r="D43" t="s">
        <v>25</v>
      </c>
      <c r="E43" t="s">
        <v>14</v>
      </c>
      <c r="F43" t="s">
        <v>12</v>
      </c>
      <c r="G43">
        <v>-1.8571428571428501</v>
      </c>
      <c r="H43">
        <v>236821.428571428</v>
      </c>
      <c r="I43">
        <v>4060</v>
      </c>
      <c r="J43">
        <f t="shared" si="0"/>
        <v>232761.428571428</v>
      </c>
      <c r="K43" t="s">
        <v>30</v>
      </c>
      <c r="L43" t="s">
        <v>29</v>
      </c>
    </row>
    <row r="44" spans="1:12" x14ac:dyDescent="0.3">
      <c r="A44">
        <v>1043</v>
      </c>
      <c r="B44" s="1">
        <v>45334</v>
      </c>
      <c r="C44" t="s">
        <v>22</v>
      </c>
      <c r="D44" t="s">
        <v>26</v>
      </c>
      <c r="E44" t="s">
        <v>12</v>
      </c>
      <c r="F44" t="s">
        <v>9</v>
      </c>
      <c r="G44">
        <v>-2</v>
      </c>
      <c r="H44">
        <v>242692.85714285701</v>
      </c>
      <c r="I44">
        <v>4120</v>
      </c>
      <c r="J44">
        <f t="shared" si="0"/>
        <v>238572.85714285701</v>
      </c>
      <c r="K44" t="s">
        <v>30</v>
      </c>
      <c r="L44" t="s">
        <v>29</v>
      </c>
    </row>
    <row r="45" spans="1:12" x14ac:dyDescent="0.3">
      <c r="A45">
        <v>1044</v>
      </c>
      <c r="B45" s="1">
        <v>45335</v>
      </c>
      <c r="C45" t="s">
        <v>23</v>
      </c>
      <c r="D45" t="s">
        <v>27</v>
      </c>
      <c r="E45" t="s">
        <v>14</v>
      </c>
      <c r="F45" t="s">
        <v>8</v>
      </c>
      <c r="G45">
        <v>-2.1428571428571401</v>
      </c>
      <c r="H45">
        <v>248564.285714286</v>
      </c>
      <c r="I45">
        <v>4180</v>
      </c>
      <c r="J45">
        <f t="shared" si="0"/>
        <v>244384.285714286</v>
      </c>
      <c r="K45" t="s">
        <v>31</v>
      </c>
      <c r="L45" t="s">
        <v>28</v>
      </c>
    </row>
    <row r="46" spans="1:12" x14ac:dyDescent="0.3">
      <c r="A46">
        <v>1045</v>
      </c>
      <c r="B46" s="1">
        <v>45336</v>
      </c>
      <c r="C46" t="s">
        <v>20</v>
      </c>
      <c r="D46" t="s">
        <v>24</v>
      </c>
      <c r="E46" t="s">
        <v>13</v>
      </c>
      <c r="F46" t="s">
        <v>10</v>
      </c>
      <c r="G46">
        <v>-2.2857142857142798</v>
      </c>
      <c r="H46">
        <v>254435.714285714</v>
      </c>
      <c r="I46">
        <v>4240</v>
      </c>
      <c r="J46">
        <f t="shared" si="0"/>
        <v>250195.714285714</v>
      </c>
      <c r="K46" t="s">
        <v>32</v>
      </c>
      <c r="L46" t="s">
        <v>28</v>
      </c>
    </row>
    <row r="47" spans="1:12" x14ac:dyDescent="0.3">
      <c r="A47">
        <v>1046</v>
      </c>
      <c r="B47" s="1">
        <v>45337</v>
      </c>
      <c r="C47" t="s">
        <v>21</v>
      </c>
      <c r="D47" t="s">
        <v>25</v>
      </c>
      <c r="E47" t="s">
        <v>13</v>
      </c>
      <c r="F47" t="s">
        <v>11</v>
      </c>
      <c r="G47">
        <v>-2.4285714285714302</v>
      </c>
      <c r="H47">
        <v>260307.14285714299</v>
      </c>
      <c r="I47">
        <v>4300</v>
      </c>
      <c r="J47">
        <f t="shared" si="0"/>
        <v>256007.14285714299</v>
      </c>
      <c r="K47" t="s">
        <v>30</v>
      </c>
      <c r="L47" t="s">
        <v>29</v>
      </c>
    </row>
    <row r="48" spans="1:12" x14ac:dyDescent="0.3">
      <c r="A48">
        <v>1047</v>
      </c>
      <c r="B48" s="1">
        <v>45338</v>
      </c>
      <c r="C48" t="s">
        <v>22</v>
      </c>
      <c r="D48" t="s">
        <v>26</v>
      </c>
      <c r="E48" t="s">
        <v>12</v>
      </c>
      <c r="F48" t="s">
        <v>7</v>
      </c>
      <c r="G48">
        <v>-2.5714285714285698</v>
      </c>
      <c r="H48">
        <v>266178.57142857101</v>
      </c>
      <c r="I48">
        <v>4360</v>
      </c>
      <c r="J48">
        <f t="shared" si="0"/>
        <v>261818.57142857101</v>
      </c>
      <c r="K48" t="s">
        <v>32</v>
      </c>
      <c r="L48" t="s">
        <v>28</v>
      </c>
    </row>
    <row r="49" spans="1:12" x14ac:dyDescent="0.3">
      <c r="A49">
        <v>1048</v>
      </c>
      <c r="B49" s="1">
        <v>45339</v>
      </c>
      <c r="C49" t="s">
        <v>23</v>
      </c>
      <c r="D49" t="s">
        <v>27</v>
      </c>
      <c r="E49" t="s">
        <v>14</v>
      </c>
      <c r="F49" t="s">
        <v>13</v>
      </c>
      <c r="G49">
        <v>-2.71428571428571</v>
      </c>
      <c r="H49">
        <v>272050</v>
      </c>
      <c r="I49">
        <v>4420</v>
      </c>
      <c r="J49">
        <f t="shared" si="0"/>
        <v>267630</v>
      </c>
      <c r="K49" t="s">
        <v>31</v>
      </c>
      <c r="L49" t="s">
        <v>29</v>
      </c>
    </row>
    <row r="50" spans="1:12" x14ac:dyDescent="0.3">
      <c r="A50">
        <v>1049</v>
      </c>
      <c r="B50" s="1">
        <v>45340</v>
      </c>
      <c r="C50" t="s">
        <v>20</v>
      </c>
      <c r="D50" t="s">
        <v>24</v>
      </c>
      <c r="E50" t="s">
        <v>12</v>
      </c>
      <c r="F50" t="s">
        <v>12</v>
      </c>
      <c r="G50">
        <v>-2.8571428571428501</v>
      </c>
      <c r="H50">
        <v>277921.428571428</v>
      </c>
      <c r="I50">
        <v>4480</v>
      </c>
      <c r="J50">
        <f t="shared" si="0"/>
        <v>273441.428571428</v>
      </c>
      <c r="K50" t="s">
        <v>30</v>
      </c>
      <c r="L50" t="s">
        <v>28</v>
      </c>
    </row>
    <row r="51" spans="1:12" x14ac:dyDescent="0.3">
      <c r="A51">
        <v>1050</v>
      </c>
      <c r="B51" s="1">
        <v>45341</v>
      </c>
      <c r="C51" t="s">
        <v>21</v>
      </c>
      <c r="D51" t="s">
        <v>25</v>
      </c>
      <c r="E51" t="s">
        <v>13</v>
      </c>
      <c r="F51" t="s">
        <v>9</v>
      </c>
      <c r="G51">
        <v>-3</v>
      </c>
      <c r="H51">
        <v>283792.85714285698</v>
      </c>
      <c r="I51">
        <v>4540</v>
      </c>
      <c r="J51">
        <f t="shared" si="0"/>
        <v>279252.85714285698</v>
      </c>
      <c r="K51" t="s">
        <v>32</v>
      </c>
      <c r="L51" t="s">
        <v>29</v>
      </c>
    </row>
    <row r="52" spans="1:12" x14ac:dyDescent="0.3">
      <c r="A52">
        <v>1051</v>
      </c>
      <c r="B52" s="1">
        <v>45342</v>
      </c>
      <c r="C52" t="s">
        <v>22</v>
      </c>
      <c r="D52" t="s">
        <v>26</v>
      </c>
      <c r="E52" t="s">
        <v>14</v>
      </c>
      <c r="F52" t="s">
        <v>8</v>
      </c>
      <c r="G52">
        <v>-3.1428571428571401</v>
      </c>
      <c r="H52">
        <v>289664.28571428597</v>
      </c>
      <c r="I52">
        <v>4600</v>
      </c>
      <c r="J52">
        <f t="shared" si="0"/>
        <v>285064.28571428597</v>
      </c>
      <c r="K52" t="s">
        <v>30</v>
      </c>
      <c r="L52" t="s">
        <v>28</v>
      </c>
    </row>
    <row r="53" spans="1:12" x14ac:dyDescent="0.3">
      <c r="A53">
        <v>1052</v>
      </c>
      <c r="B53" s="1">
        <v>45343</v>
      </c>
      <c r="C53" t="s">
        <v>23</v>
      </c>
      <c r="D53" t="s">
        <v>27</v>
      </c>
      <c r="E53" t="s">
        <v>12</v>
      </c>
      <c r="F53" t="s">
        <v>10</v>
      </c>
      <c r="G53">
        <v>-3.2857142857142798</v>
      </c>
      <c r="H53">
        <v>295535.71428571403</v>
      </c>
      <c r="I53">
        <v>4660</v>
      </c>
      <c r="J53">
        <f t="shared" si="0"/>
        <v>290875.71428571403</v>
      </c>
      <c r="K53" t="s">
        <v>30</v>
      </c>
      <c r="L53" t="s">
        <v>29</v>
      </c>
    </row>
    <row r="54" spans="1:12" x14ac:dyDescent="0.3">
      <c r="A54">
        <v>1053</v>
      </c>
      <c r="B54" s="1">
        <v>45344</v>
      </c>
      <c r="C54" t="s">
        <v>20</v>
      </c>
      <c r="D54" t="s">
        <v>24</v>
      </c>
      <c r="E54" t="s">
        <v>14</v>
      </c>
      <c r="F54" t="s">
        <v>11</v>
      </c>
      <c r="G54">
        <v>-3.4285714285714302</v>
      </c>
      <c r="H54">
        <v>301407.14285714302</v>
      </c>
      <c r="I54">
        <v>4720</v>
      </c>
      <c r="J54">
        <f t="shared" si="0"/>
        <v>296687.14285714302</v>
      </c>
      <c r="K54" t="s">
        <v>31</v>
      </c>
      <c r="L54" t="s">
        <v>29</v>
      </c>
    </row>
    <row r="55" spans="1:12" x14ac:dyDescent="0.3">
      <c r="A55">
        <v>1054</v>
      </c>
      <c r="B55" s="1">
        <v>45345</v>
      </c>
      <c r="C55" t="s">
        <v>21</v>
      </c>
      <c r="D55" t="s">
        <v>25</v>
      </c>
      <c r="E55" t="s">
        <v>13</v>
      </c>
      <c r="F55" t="s">
        <v>7</v>
      </c>
      <c r="G55">
        <v>-3.5714285714285698</v>
      </c>
      <c r="H55">
        <v>307278.57142857101</v>
      </c>
      <c r="I55">
        <v>4780</v>
      </c>
      <c r="J55">
        <f t="shared" si="0"/>
        <v>302498.57142857101</v>
      </c>
      <c r="K55" t="s">
        <v>32</v>
      </c>
      <c r="L55" t="s">
        <v>28</v>
      </c>
    </row>
    <row r="56" spans="1:12" x14ac:dyDescent="0.3">
      <c r="A56">
        <v>1055</v>
      </c>
      <c r="B56" s="1">
        <v>45346</v>
      </c>
      <c r="C56" t="s">
        <v>22</v>
      </c>
      <c r="D56" t="s">
        <v>26</v>
      </c>
      <c r="E56" t="s">
        <v>13</v>
      </c>
      <c r="F56" t="s">
        <v>13</v>
      </c>
      <c r="G56">
        <v>-3.71428571428571</v>
      </c>
      <c r="H56">
        <v>313150</v>
      </c>
      <c r="I56">
        <v>4840</v>
      </c>
      <c r="J56">
        <f t="shared" si="0"/>
        <v>308310</v>
      </c>
      <c r="K56" t="s">
        <v>30</v>
      </c>
      <c r="L56" t="s">
        <v>28</v>
      </c>
    </row>
    <row r="57" spans="1:12" x14ac:dyDescent="0.3">
      <c r="A57">
        <v>1056</v>
      </c>
      <c r="B57" s="1">
        <v>45347</v>
      </c>
      <c r="C57" t="s">
        <v>23</v>
      </c>
      <c r="D57" t="s">
        <v>27</v>
      </c>
      <c r="E57" t="s">
        <v>12</v>
      </c>
      <c r="F57" t="s">
        <v>12</v>
      </c>
      <c r="G57">
        <v>-3.8571428571428501</v>
      </c>
      <c r="H57">
        <v>319021.428571428</v>
      </c>
      <c r="I57">
        <v>4900</v>
      </c>
      <c r="J57">
        <f t="shared" si="0"/>
        <v>314121.428571428</v>
      </c>
      <c r="K57" t="s">
        <v>32</v>
      </c>
      <c r="L57" t="s">
        <v>29</v>
      </c>
    </row>
    <row r="58" spans="1:12" x14ac:dyDescent="0.3">
      <c r="A58">
        <v>1057</v>
      </c>
      <c r="B58" s="1">
        <v>45348</v>
      </c>
      <c r="C58" t="s">
        <v>20</v>
      </c>
      <c r="D58" t="s">
        <v>24</v>
      </c>
      <c r="E58" t="s">
        <v>14</v>
      </c>
      <c r="F58" t="s">
        <v>9</v>
      </c>
      <c r="G58">
        <v>-4</v>
      </c>
      <c r="H58">
        <v>324892.85714285698</v>
      </c>
      <c r="I58">
        <v>4960</v>
      </c>
      <c r="J58">
        <f t="shared" si="0"/>
        <v>319932.85714285698</v>
      </c>
      <c r="K58" t="s">
        <v>31</v>
      </c>
      <c r="L58" t="s">
        <v>28</v>
      </c>
    </row>
    <row r="59" spans="1:12" x14ac:dyDescent="0.3">
      <c r="A59">
        <v>1058</v>
      </c>
      <c r="B59" s="1">
        <v>45349</v>
      </c>
      <c r="C59" t="s">
        <v>21</v>
      </c>
      <c r="D59" t="s">
        <v>25</v>
      </c>
      <c r="E59" t="s">
        <v>12</v>
      </c>
      <c r="F59" t="s">
        <v>8</v>
      </c>
      <c r="G59">
        <v>-4.1428571428571397</v>
      </c>
      <c r="H59">
        <v>330764.28571428597</v>
      </c>
      <c r="I59">
        <v>5020</v>
      </c>
      <c r="J59">
        <f t="shared" si="0"/>
        <v>325744.28571428597</v>
      </c>
      <c r="K59" t="s">
        <v>30</v>
      </c>
      <c r="L59" t="s">
        <v>29</v>
      </c>
    </row>
    <row r="60" spans="1:12" x14ac:dyDescent="0.3">
      <c r="A60">
        <v>1059</v>
      </c>
      <c r="B60" s="1">
        <v>45350</v>
      </c>
      <c r="C60" t="s">
        <v>22</v>
      </c>
      <c r="D60" t="s">
        <v>26</v>
      </c>
      <c r="E60" t="s">
        <v>13</v>
      </c>
      <c r="F60" t="s">
        <v>10</v>
      </c>
      <c r="G60">
        <v>-4.2857142857142803</v>
      </c>
      <c r="H60">
        <v>336635.71428571403</v>
      </c>
      <c r="I60">
        <v>5080</v>
      </c>
      <c r="J60">
        <f t="shared" si="0"/>
        <v>331555.71428571403</v>
      </c>
      <c r="K60" t="s">
        <v>32</v>
      </c>
      <c r="L60" t="s">
        <v>28</v>
      </c>
    </row>
    <row r="61" spans="1:12" x14ac:dyDescent="0.3">
      <c r="A61">
        <v>1060</v>
      </c>
      <c r="B61" s="1">
        <v>45351</v>
      </c>
      <c r="C61" t="s">
        <v>23</v>
      </c>
      <c r="D61" t="s">
        <v>27</v>
      </c>
      <c r="E61" t="s">
        <v>14</v>
      </c>
      <c r="F61" t="s">
        <v>11</v>
      </c>
      <c r="G61">
        <v>-4.4285714285714297</v>
      </c>
      <c r="H61">
        <v>342507.14285714302</v>
      </c>
      <c r="I61">
        <v>5140</v>
      </c>
      <c r="J61">
        <f t="shared" si="0"/>
        <v>337367.14285714302</v>
      </c>
      <c r="K61" t="s">
        <v>30</v>
      </c>
      <c r="L61" t="s">
        <v>29</v>
      </c>
    </row>
    <row r="62" spans="1:12" x14ac:dyDescent="0.3">
      <c r="A62">
        <v>1061</v>
      </c>
      <c r="B62" s="1">
        <v>45352</v>
      </c>
      <c r="C62" t="s">
        <v>20</v>
      </c>
      <c r="D62" t="s">
        <v>24</v>
      </c>
      <c r="E62" t="s">
        <v>12</v>
      </c>
      <c r="F62" t="s">
        <v>7</v>
      </c>
      <c r="G62">
        <v>-4.5714285714285703</v>
      </c>
      <c r="H62">
        <v>348378.57142857101</v>
      </c>
      <c r="I62">
        <v>5200</v>
      </c>
      <c r="J62">
        <f t="shared" si="0"/>
        <v>343178.57142857101</v>
      </c>
      <c r="K62" t="s">
        <v>30</v>
      </c>
      <c r="L62" t="s">
        <v>28</v>
      </c>
    </row>
    <row r="63" spans="1:12" x14ac:dyDescent="0.3">
      <c r="A63">
        <v>1062</v>
      </c>
      <c r="B63" s="1">
        <v>45353</v>
      </c>
      <c r="C63" t="s">
        <v>21</v>
      </c>
      <c r="D63" t="s">
        <v>25</v>
      </c>
      <c r="E63" t="s">
        <v>14</v>
      </c>
      <c r="F63" t="s">
        <v>13</v>
      </c>
      <c r="G63">
        <v>-4.71428571428571</v>
      </c>
      <c r="H63">
        <v>354250</v>
      </c>
      <c r="I63">
        <v>5260</v>
      </c>
      <c r="J63">
        <f t="shared" si="0"/>
        <v>348990</v>
      </c>
      <c r="K63" t="s">
        <v>31</v>
      </c>
      <c r="L63" t="s">
        <v>29</v>
      </c>
    </row>
    <row r="64" spans="1:12" x14ac:dyDescent="0.3">
      <c r="A64">
        <v>1063</v>
      </c>
      <c r="B64" s="1">
        <v>45354</v>
      </c>
      <c r="C64" t="s">
        <v>22</v>
      </c>
      <c r="D64" t="s">
        <v>26</v>
      </c>
      <c r="E64" t="s">
        <v>13</v>
      </c>
      <c r="F64" t="s">
        <v>12</v>
      </c>
      <c r="G64">
        <v>-4.8571428571428497</v>
      </c>
      <c r="H64">
        <v>360121.428571428</v>
      </c>
      <c r="I64">
        <v>5320</v>
      </c>
      <c r="J64">
        <f t="shared" si="0"/>
        <v>354801.428571428</v>
      </c>
      <c r="K64" t="s">
        <v>32</v>
      </c>
      <c r="L64" t="s">
        <v>29</v>
      </c>
    </row>
    <row r="65" spans="1:12" x14ac:dyDescent="0.3">
      <c r="A65">
        <v>1064</v>
      </c>
      <c r="B65" s="1">
        <v>45355</v>
      </c>
      <c r="C65" t="s">
        <v>23</v>
      </c>
      <c r="D65" t="s">
        <v>27</v>
      </c>
      <c r="E65" t="s">
        <v>13</v>
      </c>
      <c r="F65" t="s">
        <v>9</v>
      </c>
      <c r="G65">
        <v>-5</v>
      </c>
      <c r="H65">
        <v>365992.85714285698</v>
      </c>
      <c r="I65">
        <v>5380</v>
      </c>
      <c r="J65">
        <f t="shared" si="0"/>
        <v>360612.85714285698</v>
      </c>
      <c r="K65" t="s">
        <v>30</v>
      </c>
      <c r="L65" t="s">
        <v>28</v>
      </c>
    </row>
    <row r="66" spans="1:12" x14ac:dyDescent="0.3">
      <c r="A66">
        <v>1065</v>
      </c>
      <c r="B66" s="1">
        <v>45356</v>
      </c>
      <c r="C66" t="s">
        <v>20</v>
      </c>
      <c r="D66" t="s">
        <v>24</v>
      </c>
      <c r="E66" t="s">
        <v>12</v>
      </c>
      <c r="F66" t="s">
        <v>8</v>
      </c>
      <c r="G66">
        <v>-5.1428571428571397</v>
      </c>
      <c r="H66">
        <v>371864.28571428597</v>
      </c>
      <c r="I66">
        <v>5440</v>
      </c>
      <c r="J66">
        <f t="shared" si="0"/>
        <v>366424.28571428597</v>
      </c>
      <c r="K66" t="s">
        <v>32</v>
      </c>
      <c r="L66" t="s">
        <v>28</v>
      </c>
    </row>
    <row r="67" spans="1:12" x14ac:dyDescent="0.3">
      <c r="A67">
        <v>1066</v>
      </c>
      <c r="B67" s="1">
        <v>45357</v>
      </c>
      <c r="C67" t="s">
        <v>21</v>
      </c>
      <c r="D67" t="s">
        <v>25</v>
      </c>
      <c r="E67" t="s">
        <v>14</v>
      </c>
      <c r="F67" t="s">
        <v>10</v>
      </c>
      <c r="G67">
        <v>-5.2857142857142803</v>
      </c>
      <c r="H67">
        <v>377735.71428571403</v>
      </c>
      <c r="I67">
        <v>5500</v>
      </c>
      <c r="J67">
        <f t="shared" ref="J67:J101" si="1">H67-I67</f>
        <v>372235.71428571403</v>
      </c>
      <c r="K67" t="s">
        <v>31</v>
      </c>
      <c r="L67" t="s">
        <v>29</v>
      </c>
    </row>
    <row r="68" spans="1:12" x14ac:dyDescent="0.3">
      <c r="A68">
        <v>1067</v>
      </c>
      <c r="B68" s="1">
        <v>45358</v>
      </c>
      <c r="C68" t="s">
        <v>22</v>
      </c>
      <c r="D68" t="s">
        <v>26</v>
      </c>
      <c r="E68" t="s">
        <v>12</v>
      </c>
      <c r="F68" t="s">
        <v>11</v>
      </c>
      <c r="G68">
        <v>-5.4285714285714199</v>
      </c>
      <c r="H68">
        <v>383607.14285714302</v>
      </c>
      <c r="I68">
        <v>5560</v>
      </c>
      <c r="J68">
        <f t="shared" si="1"/>
        <v>378047.14285714302</v>
      </c>
      <c r="K68" t="s">
        <v>30</v>
      </c>
      <c r="L68" t="s">
        <v>28</v>
      </c>
    </row>
    <row r="69" spans="1:12" x14ac:dyDescent="0.3">
      <c r="A69">
        <v>1068</v>
      </c>
      <c r="B69" s="1">
        <v>45359</v>
      </c>
      <c r="C69" t="s">
        <v>23</v>
      </c>
      <c r="D69" t="s">
        <v>27</v>
      </c>
      <c r="E69" t="s">
        <v>13</v>
      </c>
      <c r="F69" t="s">
        <v>7</v>
      </c>
      <c r="G69">
        <v>-5.5714285714285703</v>
      </c>
      <c r="H69">
        <v>389478.57142857101</v>
      </c>
      <c r="I69">
        <v>5620</v>
      </c>
      <c r="J69">
        <f t="shared" si="1"/>
        <v>383858.57142857101</v>
      </c>
      <c r="K69" t="s">
        <v>32</v>
      </c>
      <c r="L69" t="s">
        <v>29</v>
      </c>
    </row>
    <row r="70" spans="1:12" x14ac:dyDescent="0.3">
      <c r="A70">
        <v>1069</v>
      </c>
      <c r="B70" s="1">
        <v>45360</v>
      </c>
      <c r="C70" t="s">
        <v>20</v>
      </c>
      <c r="D70" t="s">
        <v>24</v>
      </c>
      <c r="E70" t="s">
        <v>14</v>
      </c>
      <c r="F70" t="s">
        <v>13</v>
      </c>
      <c r="G70">
        <v>-5.71428571428571</v>
      </c>
      <c r="H70">
        <v>395350</v>
      </c>
      <c r="I70">
        <v>5680</v>
      </c>
      <c r="J70">
        <f t="shared" si="1"/>
        <v>389670</v>
      </c>
      <c r="K70" t="s">
        <v>30</v>
      </c>
      <c r="L70" t="s">
        <v>28</v>
      </c>
    </row>
    <row r="71" spans="1:12" x14ac:dyDescent="0.3">
      <c r="A71">
        <v>1070</v>
      </c>
      <c r="B71" s="1">
        <v>45361</v>
      </c>
      <c r="C71" t="s">
        <v>21</v>
      </c>
      <c r="D71" t="s">
        <v>25</v>
      </c>
      <c r="E71" t="s">
        <v>12</v>
      </c>
      <c r="F71" t="s">
        <v>12</v>
      </c>
      <c r="G71">
        <v>-5.8571428571428497</v>
      </c>
      <c r="H71">
        <v>401221.428571428</v>
      </c>
      <c r="I71">
        <v>5740</v>
      </c>
      <c r="J71">
        <f t="shared" si="1"/>
        <v>395481.428571428</v>
      </c>
      <c r="K71" t="s">
        <v>30</v>
      </c>
      <c r="L71" t="s">
        <v>29</v>
      </c>
    </row>
    <row r="72" spans="1:12" x14ac:dyDescent="0.3">
      <c r="A72">
        <v>1071</v>
      </c>
      <c r="B72" s="1">
        <v>45362</v>
      </c>
      <c r="C72" t="s">
        <v>22</v>
      </c>
      <c r="D72" t="s">
        <v>26</v>
      </c>
      <c r="E72" t="s">
        <v>14</v>
      </c>
      <c r="F72" t="s">
        <v>9</v>
      </c>
      <c r="G72">
        <v>-6</v>
      </c>
      <c r="H72">
        <v>407092.85714285698</v>
      </c>
      <c r="I72">
        <v>5800</v>
      </c>
      <c r="J72">
        <f t="shared" si="1"/>
        <v>401292.85714285698</v>
      </c>
      <c r="K72" t="s">
        <v>31</v>
      </c>
      <c r="L72" t="s">
        <v>28</v>
      </c>
    </row>
    <row r="73" spans="1:12" x14ac:dyDescent="0.3">
      <c r="A73">
        <v>1072</v>
      </c>
      <c r="B73" s="1">
        <v>45363</v>
      </c>
      <c r="C73" t="s">
        <v>23</v>
      </c>
      <c r="D73" t="s">
        <v>27</v>
      </c>
      <c r="E73" t="s">
        <v>13</v>
      </c>
      <c r="F73" t="s">
        <v>8</v>
      </c>
      <c r="G73">
        <v>-6.1428571428570997</v>
      </c>
      <c r="H73">
        <v>412964.28571428597</v>
      </c>
      <c r="I73">
        <v>5860</v>
      </c>
      <c r="J73">
        <f t="shared" si="1"/>
        <v>407104.28571428597</v>
      </c>
      <c r="K73" t="s">
        <v>32</v>
      </c>
      <c r="L73" t="s">
        <v>29</v>
      </c>
    </row>
    <row r="74" spans="1:12" x14ac:dyDescent="0.3">
      <c r="A74">
        <v>1073</v>
      </c>
      <c r="B74" s="1">
        <v>45364</v>
      </c>
      <c r="C74" t="s">
        <v>20</v>
      </c>
      <c r="D74" t="s">
        <v>24</v>
      </c>
      <c r="E74" t="s">
        <v>13</v>
      </c>
      <c r="F74" t="s">
        <v>10</v>
      </c>
      <c r="G74">
        <v>-6.2857142857142998</v>
      </c>
      <c r="H74">
        <v>418835.71428571403</v>
      </c>
      <c r="I74">
        <v>5920</v>
      </c>
      <c r="J74">
        <f t="shared" si="1"/>
        <v>412915.71428571403</v>
      </c>
      <c r="K74" t="s">
        <v>30</v>
      </c>
      <c r="L74" t="s">
        <v>29</v>
      </c>
    </row>
    <row r="75" spans="1:12" x14ac:dyDescent="0.3">
      <c r="A75">
        <v>1074</v>
      </c>
      <c r="B75" s="1">
        <v>45365</v>
      </c>
      <c r="C75" t="s">
        <v>21</v>
      </c>
      <c r="D75" t="s">
        <v>25</v>
      </c>
      <c r="E75" t="s">
        <v>12</v>
      </c>
      <c r="F75" t="s">
        <v>11</v>
      </c>
      <c r="G75">
        <v>-6.4285714285714004</v>
      </c>
      <c r="H75">
        <v>424707.14285714302</v>
      </c>
      <c r="I75">
        <v>5980</v>
      </c>
      <c r="J75">
        <f t="shared" si="1"/>
        <v>418727.14285714302</v>
      </c>
      <c r="K75" t="s">
        <v>32</v>
      </c>
      <c r="L75" t="s">
        <v>28</v>
      </c>
    </row>
    <row r="76" spans="1:12" x14ac:dyDescent="0.3">
      <c r="A76">
        <v>1075</v>
      </c>
      <c r="B76" s="1">
        <v>45366</v>
      </c>
      <c r="C76" t="s">
        <v>22</v>
      </c>
      <c r="D76" t="s">
        <v>26</v>
      </c>
      <c r="E76" t="s">
        <v>14</v>
      </c>
      <c r="F76" t="s">
        <v>7</v>
      </c>
      <c r="G76">
        <v>-6.5714285714285996</v>
      </c>
      <c r="H76">
        <v>430578.57142857101</v>
      </c>
      <c r="I76">
        <v>6040</v>
      </c>
      <c r="J76">
        <f t="shared" si="1"/>
        <v>424538.57142857101</v>
      </c>
      <c r="K76" t="s">
        <v>31</v>
      </c>
      <c r="L76" t="s">
        <v>28</v>
      </c>
    </row>
    <row r="77" spans="1:12" x14ac:dyDescent="0.3">
      <c r="A77">
        <v>1076</v>
      </c>
      <c r="B77" s="1">
        <v>45367</v>
      </c>
      <c r="C77" t="s">
        <v>23</v>
      </c>
      <c r="D77" t="s">
        <v>27</v>
      </c>
      <c r="E77" t="s">
        <v>12</v>
      </c>
      <c r="F77" t="s">
        <v>13</v>
      </c>
      <c r="G77">
        <v>-6.7142857142857002</v>
      </c>
      <c r="H77">
        <v>436450</v>
      </c>
      <c r="I77">
        <v>6100</v>
      </c>
      <c r="J77">
        <f t="shared" si="1"/>
        <v>430350</v>
      </c>
      <c r="K77" t="s">
        <v>30</v>
      </c>
      <c r="L77" t="s">
        <v>29</v>
      </c>
    </row>
    <row r="78" spans="1:12" x14ac:dyDescent="0.3">
      <c r="A78">
        <v>1077</v>
      </c>
      <c r="B78" s="1">
        <v>45368</v>
      </c>
      <c r="C78" t="s">
        <v>20</v>
      </c>
      <c r="D78" t="s">
        <v>24</v>
      </c>
      <c r="E78" t="s">
        <v>13</v>
      </c>
      <c r="F78" t="s">
        <v>12</v>
      </c>
      <c r="G78">
        <v>-6.8571428571429003</v>
      </c>
      <c r="H78">
        <v>442321.428571428</v>
      </c>
      <c r="I78">
        <v>6160</v>
      </c>
      <c r="J78">
        <f t="shared" si="1"/>
        <v>436161.428571428</v>
      </c>
      <c r="K78" t="s">
        <v>32</v>
      </c>
      <c r="L78" t="s">
        <v>28</v>
      </c>
    </row>
    <row r="79" spans="1:12" x14ac:dyDescent="0.3">
      <c r="A79">
        <v>1078</v>
      </c>
      <c r="B79" s="1">
        <v>45369</v>
      </c>
      <c r="C79" t="s">
        <v>21</v>
      </c>
      <c r="D79" t="s">
        <v>25</v>
      </c>
      <c r="E79" t="s">
        <v>14</v>
      </c>
      <c r="F79" t="s">
        <v>9</v>
      </c>
      <c r="G79">
        <v>-7</v>
      </c>
      <c r="H79">
        <v>448192.85714285698</v>
      </c>
      <c r="I79">
        <v>6220</v>
      </c>
      <c r="J79">
        <f t="shared" si="1"/>
        <v>441972.85714285698</v>
      </c>
      <c r="K79" t="s">
        <v>30</v>
      </c>
      <c r="L79" t="s">
        <v>29</v>
      </c>
    </row>
    <row r="80" spans="1:12" x14ac:dyDescent="0.3">
      <c r="A80">
        <v>1079</v>
      </c>
      <c r="B80" s="1">
        <v>45370</v>
      </c>
      <c r="C80" t="s">
        <v>22</v>
      </c>
      <c r="D80" t="s">
        <v>26</v>
      </c>
      <c r="E80" t="s">
        <v>12</v>
      </c>
      <c r="F80" t="s">
        <v>8</v>
      </c>
      <c r="G80">
        <v>-7.1428571428570997</v>
      </c>
      <c r="H80">
        <v>454064.28571428597</v>
      </c>
      <c r="I80">
        <v>6280</v>
      </c>
      <c r="J80">
        <f t="shared" si="1"/>
        <v>447784.28571428597</v>
      </c>
      <c r="K80" t="s">
        <v>30</v>
      </c>
      <c r="L80" t="s">
        <v>28</v>
      </c>
    </row>
    <row r="81" spans="1:12" x14ac:dyDescent="0.3">
      <c r="A81">
        <v>1080</v>
      </c>
      <c r="B81" s="1">
        <v>45371</v>
      </c>
      <c r="C81" t="s">
        <v>23</v>
      </c>
      <c r="D81" t="s">
        <v>27</v>
      </c>
      <c r="E81" t="s">
        <v>14</v>
      </c>
      <c r="F81" t="s">
        <v>10</v>
      </c>
      <c r="G81">
        <v>-7.2857142857142998</v>
      </c>
      <c r="H81">
        <v>459935.71428571403</v>
      </c>
      <c r="I81">
        <v>6340</v>
      </c>
      <c r="J81">
        <f t="shared" si="1"/>
        <v>453595.71428571403</v>
      </c>
      <c r="K81" t="s">
        <v>31</v>
      </c>
      <c r="L81" t="s">
        <v>29</v>
      </c>
    </row>
    <row r="82" spans="1:12" x14ac:dyDescent="0.3">
      <c r="A82">
        <v>1081</v>
      </c>
      <c r="B82" s="1">
        <v>45372</v>
      </c>
      <c r="C82" t="s">
        <v>20</v>
      </c>
      <c r="D82" t="s">
        <v>24</v>
      </c>
      <c r="E82" t="s">
        <v>13</v>
      </c>
      <c r="F82" t="s">
        <v>11</v>
      </c>
      <c r="G82">
        <v>-7.4285714285714004</v>
      </c>
      <c r="H82">
        <v>465807.14285714302</v>
      </c>
      <c r="I82">
        <v>6400</v>
      </c>
      <c r="J82">
        <f t="shared" si="1"/>
        <v>459407.14285714302</v>
      </c>
      <c r="K82" t="s">
        <v>32</v>
      </c>
      <c r="L82" t="s">
        <v>28</v>
      </c>
    </row>
    <row r="83" spans="1:12" x14ac:dyDescent="0.3">
      <c r="A83">
        <v>1082</v>
      </c>
      <c r="B83" s="1">
        <v>45373</v>
      </c>
      <c r="C83" t="s">
        <v>21</v>
      </c>
      <c r="D83" t="s">
        <v>25</v>
      </c>
      <c r="E83" t="s">
        <v>13</v>
      </c>
      <c r="F83" t="s">
        <v>7</v>
      </c>
      <c r="G83">
        <v>-7.5714285714285996</v>
      </c>
      <c r="H83">
        <v>471678.57142857101</v>
      </c>
      <c r="I83">
        <v>6460</v>
      </c>
      <c r="J83">
        <f t="shared" si="1"/>
        <v>465218.57142857101</v>
      </c>
      <c r="K83" t="s">
        <v>30</v>
      </c>
      <c r="L83" t="s">
        <v>29</v>
      </c>
    </row>
    <row r="84" spans="1:12" x14ac:dyDescent="0.3">
      <c r="A84">
        <v>1083</v>
      </c>
      <c r="B84" s="1">
        <v>45374</v>
      </c>
      <c r="C84" t="s">
        <v>22</v>
      </c>
      <c r="D84" t="s">
        <v>26</v>
      </c>
      <c r="E84" t="s">
        <v>12</v>
      </c>
      <c r="F84" t="s">
        <v>13</v>
      </c>
      <c r="G84">
        <v>-7.7142857142857002</v>
      </c>
      <c r="H84">
        <v>477550</v>
      </c>
      <c r="I84">
        <v>6520</v>
      </c>
      <c r="J84">
        <f t="shared" si="1"/>
        <v>471030</v>
      </c>
      <c r="K84" t="s">
        <v>32</v>
      </c>
      <c r="L84" t="s">
        <v>29</v>
      </c>
    </row>
    <row r="85" spans="1:12" x14ac:dyDescent="0.3">
      <c r="A85">
        <v>1084</v>
      </c>
      <c r="B85" s="1">
        <v>45375</v>
      </c>
      <c r="C85" t="s">
        <v>23</v>
      </c>
      <c r="D85" t="s">
        <v>27</v>
      </c>
      <c r="E85" t="s">
        <v>14</v>
      </c>
      <c r="F85" t="s">
        <v>12</v>
      </c>
      <c r="G85">
        <v>-7.8571428571429003</v>
      </c>
      <c r="H85">
        <v>483421.428571428</v>
      </c>
      <c r="I85">
        <v>6580</v>
      </c>
      <c r="J85">
        <f t="shared" si="1"/>
        <v>476841.428571428</v>
      </c>
      <c r="K85" t="s">
        <v>31</v>
      </c>
      <c r="L85" t="s">
        <v>28</v>
      </c>
    </row>
    <row r="86" spans="1:12" x14ac:dyDescent="0.3">
      <c r="A86">
        <v>1085</v>
      </c>
      <c r="B86" s="1">
        <v>45376</v>
      </c>
      <c r="C86" t="s">
        <v>20</v>
      </c>
      <c r="D86" t="s">
        <v>24</v>
      </c>
      <c r="E86" t="s">
        <v>12</v>
      </c>
      <c r="F86" t="s">
        <v>9</v>
      </c>
      <c r="G86">
        <v>-8</v>
      </c>
      <c r="H86">
        <v>489292.85714285698</v>
      </c>
      <c r="I86">
        <v>6640</v>
      </c>
      <c r="J86">
        <f t="shared" si="1"/>
        <v>482652.85714285698</v>
      </c>
      <c r="K86" t="s">
        <v>30</v>
      </c>
      <c r="L86" t="s">
        <v>28</v>
      </c>
    </row>
    <row r="87" spans="1:12" x14ac:dyDescent="0.3">
      <c r="A87">
        <v>1086</v>
      </c>
      <c r="B87" s="1">
        <v>45377</v>
      </c>
      <c r="C87" t="s">
        <v>21</v>
      </c>
      <c r="D87" t="s">
        <v>25</v>
      </c>
      <c r="E87" t="s">
        <v>13</v>
      </c>
      <c r="F87" t="s">
        <v>8</v>
      </c>
      <c r="G87">
        <v>-8.1428571428570997</v>
      </c>
      <c r="H87">
        <v>495164.28571428597</v>
      </c>
      <c r="I87">
        <v>6700</v>
      </c>
      <c r="J87">
        <f t="shared" si="1"/>
        <v>488464.28571428597</v>
      </c>
      <c r="K87" t="s">
        <v>32</v>
      </c>
      <c r="L87" t="s">
        <v>29</v>
      </c>
    </row>
    <row r="88" spans="1:12" x14ac:dyDescent="0.3">
      <c r="A88">
        <v>1087</v>
      </c>
      <c r="B88" s="1">
        <v>45378</v>
      </c>
      <c r="C88" t="s">
        <v>22</v>
      </c>
      <c r="D88" t="s">
        <v>26</v>
      </c>
      <c r="E88" t="s">
        <v>14</v>
      </c>
      <c r="F88" t="s">
        <v>10</v>
      </c>
      <c r="G88">
        <v>-8.2857142857143007</v>
      </c>
      <c r="H88">
        <v>501035.71428571403</v>
      </c>
      <c r="I88">
        <v>6760</v>
      </c>
      <c r="J88">
        <f t="shared" si="1"/>
        <v>494275.71428571403</v>
      </c>
      <c r="K88" t="s">
        <v>30</v>
      </c>
      <c r="L88" t="s">
        <v>28</v>
      </c>
    </row>
    <row r="89" spans="1:12" x14ac:dyDescent="0.3">
      <c r="A89">
        <v>1088</v>
      </c>
      <c r="B89" s="1">
        <v>45379</v>
      </c>
      <c r="C89" t="s">
        <v>23</v>
      </c>
      <c r="D89" t="s">
        <v>27</v>
      </c>
      <c r="E89" t="s">
        <v>12</v>
      </c>
      <c r="F89" t="s">
        <v>11</v>
      </c>
      <c r="G89">
        <v>-8.4285714285714004</v>
      </c>
      <c r="H89">
        <v>506907.14285714302</v>
      </c>
      <c r="I89">
        <v>6820</v>
      </c>
      <c r="J89">
        <f t="shared" si="1"/>
        <v>500087.14285714302</v>
      </c>
      <c r="K89" t="s">
        <v>30</v>
      </c>
      <c r="L89" t="s">
        <v>29</v>
      </c>
    </row>
    <row r="90" spans="1:12" x14ac:dyDescent="0.3">
      <c r="A90">
        <v>1089</v>
      </c>
      <c r="B90" s="1">
        <v>45380</v>
      </c>
      <c r="C90" t="s">
        <v>20</v>
      </c>
      <c r="D90" t="s">
        <v>24</v>
      </c>
      <c r="E90" t="s">
        <v>14</v>
      </c>
      <c r="F90" t="s">
        <v>7</v>
      </c>
      <c r="G90">
        <v>-8.5714285714285996</v>
      </c>
      <c r="H90">
        <v>512778.57142857101</v>
      </c>
      <c r="I90">
        <v>6880</v>
      </c>
      <c r="J90">
        <f t="shared" si="1"/>
        <v>505898.57142857101</v>
      </c>
      <c r="K90" t="s">
        <v>31</v>
      </c>
      <c r="L90" t="s">
        <v>28</v>
      </c>
    </row>
    <row r="91" spans="1:12" x14ac:dyDescent="0.3">
      <c r="A91">
        <v>1090</v>
      </c>
      <c r="B91" s="1">
        <v>45381</v>
      </c>
      <c r="C91" t="s">
        <v>21</v>
      </c>
      <c r="D91" t="s">
        <v>25</v>
      </c>
      <c r="E91" t="s">
        <v>13</v>
      </c>
      <c r="F91" t="s">
        <v>13</v>
      </c>
      <c r="G91">
        <v>-8.7142857142856993</v>
      </c>
      <c r="H91">
        <v>518650</v>
      </c>
      <c r="I91">
        <v>6940</v>
      </c>
      <c r="J91">
        <f t="shared" si="1"/>
        <v>511710</v>
      </c>
      <c r="K91" t="s">
        <v>32</v>
      </c>
      <c r="L91" t="s">
        <v>29</v>
      </c>
    </row>
    <row r="92" spans="1:12" x14ac:dyDescent="0.3">
      <c r="A92">
        <v>1091</v>
      </c>
      <c r="B92" s="1">
        <v>45382</v>
      </c>
      <c r="C92" t="s">
        <v>22</v>
      </c>
      <c r="D92" t="s">
        <v>26</v>
      </c>
      <c r="E92" t="s">
        <v>13</v>
      </c>
      <c r="F92" t="s">
        <v>12</v>
      </c>
      <c r="G92">
        <v>-8.8571428571429003</v>
      </c>
      <c r="H92">
        <v>524521.42857142806</v>
      </c>
      <c r="I92">
        <v>7000</v>
      </c>
      <c r="J92">
        <f t="shared" si="1"/>
        <v>517521.42857142806</v>
      </c>
      <c r="K92" t="s">
        <v>30</v>
      </c>
      <c r="L92" t="s">
        <v>28</v>
      </c>
    </row>
    <row r="93" spans="1:12" x14ac:dyDescent="0.3">
      <c r="A93">
        <v>1092</v>
      </c>
      <c r="B93" s="1">
        <v>45383</v>
      </c>
      <c r="C93" t="s">
        <v>23</v>
      </c>
      <c r="D93" t="s">
        <v>27</v>
      </c>
      <c r="E93" t="s">
        <v>12</v>
      </c>
      <c r="F93" t="s">
        <v>9</v>
      </c>
      <c r="G93">
        <v>-9</v>
      </c>
      <c r="H93">
        <v>530392.85714285704</v>
      </c>
      <c r="I93">
        <v>7060</v>
      </c>
      <c r="J93">
        <f t="shared" si="1"/>
        <v>523332.85714285704</v>
      </c>
      <c r="K93" t="s">
        <v>32</v>
      </c>
      <c r="L93" t="s">
        <v>29</v>
      </c>
    </row>
    <row r="94" spans="1:12" x14ac:dyDescent="0.3">
      <c r="A94">
        <v>1093</v>
      </c>
      <c r="B94" s="1">
        <v>45384</v>
      </c>
      <c r="C94" t="s">
        <v>20</v>
      </c>
      <c r="D94" t="s">
        <v>24</v>
      </c>
      <c r="E94" t="s">
        <v>14</v>
      </c>
      <c r="F94" t="s">
        <v>8</v>
      </c>
      <c r="G94">
        <v>-9.1428571428570997</v>
      </c>
      <c r="H94">
        <v>536264.28571428603</v>
      </c>
      <c r="I94">
        <v>7120</v>
      </c>
      <c r="J94">
        <f t="shared" si="1"/>
        <v>529144.28571428603</v>
      </c>
      <c r="K94" t="s">
        <v>31</v>
      </c>
      <c r="L94" t="s">
        <v>29</v>
      </c>
    </row>
    <row r="95" spans="1:12" x14ac:dyDescent="0.3">
      <c r="A95">
        <v>1094</v>
      </c>
      <c r="B95" s="1">
        <v>45385</v>
      </c>
      <c r="C95" t="s">
        <v>21</v>
      </c>
      <c r="D95" t="s">
        <v>25</v>
      </c>
      <c r="E95" t="s">
        <v>12</v>
      </c>
      <c r="F95" t="s">
        <v>10</v>
      </c>
      <c r="G95">
        <v>-9.2857142857143007</v>
      </c>
      <c r="H95">
        <v>542135.71428571397</v>
      </c>
      <c r="I95">
        <v>7180</v>
      </c>
      <c r="J95">
        <f t="shared" si="1"/>
        <v>534955.71428571397</v>
      </c>
      <c r="K95" t="s">
        <v>30</v>
      </c>
      <c r="L95" t="s">
        <v>28</v>
      </c>
    </row>
    <row r="96" spans="1:12" x14ac:dyDescent="0.3">
      <c r="A96">
        <v>1095</v>
      </c>
      <c r="B96" s="1">
        <v>45386</v>
      </c>
      <c r="C96" t="s">
        <v>22</v>
      </c>
      <c r="D96" t="s">
        <v>26</v>
      </c>
      <c r="E96" t="s">
        <v>13</v>
      </c>
      <c r="F96" t="s">
        <v>11</v>
      </c>
      <c r="G96">
        <v>-9.4285714285714004</v>
      </c>
      <c r="H96">
        <v>548007.14285714296</v>
      </c>
      <c r="I96">
        <v>7240</v>
      </c>
      <c r="J96">
        <f t="shared" si="1"/>
        <v>540767.14285714296</v>
      </c>
      <c r="K96" t="s">
        <v>32</v>
      </c>
      <c r="L96" t="s">
        <v>28</v>
      </c>
    </row>
    <row r="97" spans="1:12" x14ac:dyDescent="0.3">
      <c r="A97">
        <v>1096</v>
      </c>
      <c r="B97" s="1">
        <v>45387</v>
      </c>
      <c r="C97" t="s">
        <v>23</v>
      </c>
      <c r="D97" t="s">
        <v>27</v>
      </c>
      <c r="E97" t="s">
        <v>14</v>
      </c>
      <c r="F97" t="s">
        <v>7</v>
      </c>
      <c r="G97">
        <v>-9.5714285714285996</v>
      </c>
      <c r="H97">
        <v>553878.57142857101</v>
      </c>
      <c r="I97">
        <v>7300</v>
      </c>
      <c r="J97">
        <f t="shared" si="1"/>
        <v>546578.57142857101</v>
      </c>
      <c r="K97" t="s">
        <v>30</v>
      </c>
      <c r="L97" t="s">
        <v>29</v>
      </c>
    </row>
    <row r="98" spans="1:12" x14ac:dyDescent="0.3">
      <c r="A98">
        <v>1097</v>
      </c>
      <c r="B98" s="1">
        <v>45388</v>
      </c>
      <c r="C98" t="s">
        <v>20</v>
      </c>
      <c r="D98" t="s">
        <v>24</v>
      </c>
      <c r="E98" t="s">
        <v>12</v>
      </c>
      <c r="F98" t="s">
        <v>13</v>
      </c>
      <c r="G98">
        <v>-9.7142857142856993</v>
      </c>
      <c r="H98">
        <v>559750</v>
      </c>
      <c r="I98">
        <v>7360</v>
      </c>
      <c r="J98">
        <f t="shared" si="1"/>
        <v>552390</v>
      </c>
      <c r="K98" t="s">
        <v>30</v>
      </c>
      <c r="L98" t="s">
        <v>28</v>
      </c>
    </row>
    <row r="99" spans="1:12" x14ac:dyDescent="0.3">
      <c r="A99">
        <v>1098</v>
      </c>
      <c r="B99" s="1">
        <v>45389</v>
      </c>
      <c r="C99" t="s">
        <v>21</v>
      </c>
      <c r="D99" t="s">
        <v>25</v>
      </c>
      <c r="E99" t="s">
        <v>14</v>
      </c>
      <c r="F99" t="s">
        <v>12</v>
      </c>
      <c r="G99">
        <v>-9.8571428571429003</v>
      </c>
      <c r="H99">
        <v>565621.42857142806</v>
      </c>
      <c r="I99">
        <v>7420</v>
      </c>
      <c r="J99">
        <f t="shared" si="1"/>
        <v>558201.42857142806</v>
      </c>
      <c r="K99" t="s">
        <v>31</v>
      </c>
      <c r="L99" t="s">
        <v>29</v>
      </c>
    </row>
    <row r="100" spans="1:12" x14ac:dyDescent="0.3">
      <c r="A100">
        <v>1099</v>
      </c>
      <c r="B100" s="1">
        <v>45390</v>
      </c>
      <c r="C100" t="s">
        <v>22</v>
      </c>
      <c r="D100" t="s">
        <v>26</v>
      </c>
      <c r="E100" t="s">
        <v>13</v>
      </c>
      <c r="F100" t="s">
        <v>9</v>
      </c>
      <c r="G100">
        <v>-10</v>
      </c>
      <c r="H100">
        <v>571492.85714285704</v>
      </c>
      <c r="I100">
        <v>7480</v>
      </c>
      <c r="J100">
        <f t="shared" si="1"/>
        <v>564012.85714285704</v>
      </c>
      <c r="K100" t="s">
        <v>32</v>
      </c>
      <c r="L100" t="s">
        <v>28</v>
      </c>
    </row>
    <row r="101" spans="1:12" x14ac:dyDescent="0.3">
      <c r="A101">
        <v>1100</v>
      </c>
      <c r="B101" s="1">
        <v>45391</v>
      </c>
      <c r="C101" t="s">
        <v>23</v>
      </c>
      <c r="D101" t="s">
        <v>27</v>
      </c>
      <c r="E101" t="s">
        <v>13</v>
      </c>
      <c r="F101" t="s">
        <v>8</v>
      </c>
      <c r="G101">
        <v>-10.1428571428571</v>
      </c>
      <c r="H101">
        <v>577364.28571428603</v>
      </c>
      <c r="I101">
        <v>7540</v>
      </c>
      <c r="J101">
        <f t="shared" si="1"/>
        <v>569824.28571428603</v>
      </c>
      <c r="K101" t="s">
        <v>30</v>
      </c>
      <c r="L101" t="s">
        <v>29</v>
      </c>
    </row>
    <row r="102" spans="1:12" x14ac:dyDescent="0.3">
      <c r="B102" s="1"/>
    </row>
    <row r="103" spans="1:12" x14ac:dyDescent="0.3">
      <c r="B103" s="1"/>
    </row>
    <row r="104" spans="1:12" x14ac:dyDescent="0.3">
      <c r="B104" s="1"/>
    </row>
    <row r="105" spans="1:12" x14ac:dyDescent="0.3">
      <c r="B105" s="1"/>
    </row>
    <row r="106" spans="1:12" x14ac:dyDescent="0.3">
      <c r="B106" s="1"/>
    </row>
    <row r="107" spans="1:12" x14ac:dyDescent="0.3">
      <c r="B107" s="1"/>
    </row>
    <row r="108" spans="1:12" x14ac:dyDescent="0.3">
      <c r="B108" s="1"/>
    </row>
    <row r="109" spans="1:12" x14ac:dyDescent="0.3">
      <c r="B109" s="1"/>
    </row>
    <row r="110" spans="1:12" x14ac:dyDescent="0.3">
      <c r="B110" s="1"/>
    </row>
    <row r="111" spans="1:12" x14ac:dyDescent="0.3">
      <c r="B111" s="1"/>
    </row>
    <row r="112" spans="1:12" x14ac:dyDescent="0.3">
      <c r="B112" s="1"/>
    </row>
    <row r="113" spans="2:2" x14ac:dyDescent="0.3">
      <c r="B113" s="1"/>
    </row>
    <row r="114" spans="2:2" x14ac:dyDescent="0.3">
      <c r="B114" s="1"/>
    </row>
    <row r="115" spans="2:2" x14ac:dyDescent="0.3">
      <c r="B115" s="1"/>
    </row>
    <row r="116" spans="2:2" x14ac:dyDescent="0.3">
      <c r="B116" s="1"/>
    </row>
    <row r="117" spans="2:2" x14ac:dyDescent="0.3">
      <c r="B117" s="1"/>
    </row>
    <row r="118" spans="2:2" x14ac:dyDescent="0.3">
      <c r="B118" s="1"/>
    </row>
    <row r="119" spans="2:2" x14ac:dyDescent="0.3">
      <c r="B119" s="1"/>
    </row>
    <row r="120" spans="2:2" x14ac:dyDescent="0.3">
      <c r="B120" s="1"/>
    </row>
    <row r="121" spans="2:2" x14ac:dyDescent="0.3">
      <c r="B121" s="1"/>
    </row>
    <row r="122" spans="2:2" x14ac:dyDescent="0.3">
      <c r="B122" s="1"/>
    </row>
    <row r="123" spans="2:2" x14ac:dyDescent="0.3">
      <c r="B123" s="1"/>
    </row>
    <row r="124" spans="2:2" x14ac:dyDescent="0.3">
      <c r="B124" s="1"/>
    </row>
    <row r="125" spans="2:2" x14ac:dyDescent="0.3">
      <c r="B125" s="1"/>
    </row>
    <row r="126" spans="2:2" x14ac:dyDescent="0.3">
      <c r="B126" s="1"/>
    </row>
    <row r="127" spans="2:2" x14ac:dyDescent="0.3">
      <c r="B127" s="1"/>
    </row>
    <row r="128" spans="2:2" x14ac:dyDescent="0.3">
      <c r="B128" s="1"/>
    </row>
    <row r="129" spans="2:2" x14ac:dyDescent="0.3">
      <c r="B129" s="1"/>
    </row>
    <row r="130" spans="2:2" x14ac:dyDescent="0.3">
      <c r="B130" s="1"/>
    </row>
    <row r="131" spans="2:2" x14ac:dyDescent="0.3">
      <c r="B131" s="1"/>
    </row>
    <row r="132" spans="2:2" x14ac:dyDescent="0.3">
      <c r="B132" s="1"/>
    </row>
    <row r="133" spans="2:2" x14ac:dyDescent="0.3">
      <c r="B133" s="1"/>
    </row>
    <row r="134" spans="2:2" x14ac:dyDescent="0.3">
      <c r="B134" s="1"/>
    </row>
    <row r="135" spans="2:2" x14ac:dyDescent="0.3">
      <c r="B135" s="1"/>
    </row>
    <row r="136" spans="2:2" x14ac:dyDescent="0.3">
      <c r="B136" s="1"/>
    </row>
    <row r="137" spans="2:2" x14ac:dyDescent="0.3">
      <c r="B137" s="1"/>
    </row>
    <row r="138" spans="2:2" x14ac:dyDescent="0.3">
      <c r="B138" s="1"/>
    </row>
    <row r="139" spans="2:2" x14ac:dyDescent="0.3">
      <c r="B139" s="1"/>
    </row>
    <row r="140" spans="2:2" x14ac:dyDescent="0.3">
      <c r="B140" s="1"/>
    </row>
    <row r="141" spans="2:2" x14ac:dyDescent="0.3">
      <c r="B141" s="1"/>
    </row>
    <row r="142" spans="2:2" x14ac:dyDescent="0.3">
      <c r="B142" s="1"/>
    </row>
    <row r="143" spans="2:2" x14ac:dyDescent="0.3">
      <c r="B143" s="1"/>
    </row>
    <row r="144" spans="2:2" x14ac:dyDescent="0.3">
      <c r="B144" s="1"/>
    </row>
    <row r="145" spans="2:2" x14ac:dyDescent="0.3">
      <c r="B145" s="1"/>
    </row>
    <row r="146" spans="2:2" x14ac:dyDescent="0.3">
      <c r="B146" s="1"/>
    </row>
    <row r="147" spans="2:2" x14ac:dyDescent="0.3">
      <c r="B147" s="1"/>
    </row>
    <row r="148" spans="2:2" x14ac:dyDescent="0.3">
      <c r="B148" s="1"/>
    </row>
    <row r="149" spans="2:2" x14ac:dyDescent="0.3">
      <c r="B149" s="1"/>
    </row>
    <row r="150" spans="2:2" x14ac:dyDescent="0.3">
      <c r="B150" s="1"/>
    </row>
    <row r="151" spans="2:2" x14ac:dyDescent="0.3">
      <c r="B151" s="1"/>
    </row>
    <row r="152" spans="2:2" x14ac:dyDescent="0.3">
      <c r="B152" s="1"/>
    </row>
    <row r="153" spans="2:2" x14ac:dyDescent="0.3">
      <c r="B153" s="1"/>
    </row>
    <row r="154" spans="2:2" x14ac:dyDescent="0.3">
      <c r="B154" s="1"/>
    </row>
    <row r="155" spans="2:2" x14ac:dyDescent="0.3">
      <c r="B155" s="1"/>
    </row>
    <row r="156" spans="2:2" x14ac:dyDescent="0.3">
      <c r="B156" s="1"/>
    </row>
    <row r="157" spans="2:2" x14ac:dyDescent="0.3">
      <c r="B157" s="1"/>
    </row>
    <row r="158" spans="2:2" x14ac:dyDescent="0.3">
      <c r="B158" s="1"/>
    </row>
    <row r="159" spans="2:2" x14ac:dyDescent="0.3">
      <c r="B159" s="1"/>
    </row>
    <row r="160" spans="2:2" x14ac:dyDescent="0.3">
      <c r="B160" s="1"/>
    </row>
    <row r="161" spans="2:2" x14ac:dyDescent="0.3">
      <c r="B161" s="1"/>
    </row>
    <row r="162" spans="2:2" x14ac:dyDescent="0.3">
      <c r="B162" s="1"/>
    </row>
    <row r="163" spans="2:2" x14ac:dyDescent="0.3">
      <c r="B163" s="1"/>
    </row>
    <row r="164" spans="2:2" x14ac:dyDescent="0.3">
      <c r="B164" s="1"/>
    </row>
    <row r="165" spans="2:2" x14ac:dyDescent="0.3">
      <c r="B165" s="1"/>
    </row>
    <row r="166" spans="2:2" x14ac:dyDescent="0.3">
      <c r="B166" s="1"/>
    </row>
    <row r="167" spans="2:2" x14ac:dyDescent="0.3">
      <c r="B167" s="1"/>
    </row>
    <row r="168" spans="2:2" x14ac:dyDescent="0.3">
      <c r="B168" s="1"/>
    </row>
    <row r="169" spans="2:2" x14ac:dyDescent="0.3">
      <c r="B169" s="1"/>
    </row>
    <row r="170" spans="2:2" x14ac:dyDescent="0.3">
      <c r="B170" s="1"/>
    </row>
    <row r="171" spans="2:2" x14ac:dyDescent="0.3">
      <c r="B171" s="1"/>
    </row>
    <row r="172" spans="2:2" x14ac:dyDescent="0.3">
      <c r="B172" s="1"/>
    </row>
    <row r="173" spans="2:2" x14ac:dyDescent="0.3">
      <c r="B173" s="1"/>
    </row>
    <row r="174" spans="2:2" x14ac:dyDescent="0.3">
      <c r="B174" s="1"/>
    </row>
    <row r="175" spans="2:2" x14ac:dyDescent="0.3">
      <c r="B175" s="1"/>
    </row>
    <row r="176" spans="2:2" x14ac:dyDescent="0.3">
      <c r="B176" s="1"/>
    </row>
    <row r="177" spans="2:2" x14ac:dyDescent="0.3">
      <c r="B177" s="1"/>
    </row>
    <row r="178" spans="2:2" x14ac:dyDescent="0.3">
      <c r="B178" s="1"/>
    </row>
    <row r="179" spans="2:2" x14ac:dyDescent="0.3">
      <c r="B179" s="1"/>
    </row>
    <row r="180" spans="2:2" x14ac:dyDescent="0.3">
      <c r="B180" s="1"/>
    </row>
    <row r="181" spans="2:2" x14ac:dyDescent="0.3">
      <c r="B181" s="1"/>
    </row>
    <row r="182" spans="2:2" x14ac:dyDescent="0.3">
      <c r="B182" s="1"/>
    </row>
    <row r="183" spans="2:2" x14ac:dyDescent="0.3">
      <c r="B183" s="1"/>
    </row>
    <row r="184" spans="2:2" x14ac:dyDescent="0.3">
      <c r="B184" s="1"/>
    </row>
    <row r="185" spans="2:2" x14ac:dyDescent="0.3">
      <c r="B185" s="1"/>
    </row>
    <row r="186" spans="2:2" x14ac:dyDescent="0.3">
      <c r="B186" s="1"/>
    </row>
    <row r="187" spans="2:2" x14ac:dyDescent="0.3">
      <c r="B187" s="1"/>
    </row>
    <row r="188" spans="2:2" x14ac:dyDescent="0.3">
      <c r="B188" s="1"/>
    </row>
    <row r="189" spans="2:2" x14ac:dyDescent="0.3">
      <c r="B189" s="1"/>
    </row>
    <row r="190" spans="2:2" x14ac:dyDescent="0.3">
      <c r="B190" s="1"/>
    </row>
    <row r="191" spans="2:2" x14ac:dyDescent="0.3">
      <c r="B191" s="1"/>
    </row>
    <row r="192" spans="2:2"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1D493-3217-45CB-B81D-083C20AC601A}">
  <dimension ref="A1:D6"/>
  <sheetViews>
    <sheetView workbookViewId="0">
      <selection activeCell="G2" activeCellId="1" sqref="F5 G2"/>
    </sheetView>
  </sheetViews>
  <sheetFormatPr defaultRowHeight="14.4" x14ac:dyDescent="0.3"/>
  <cols>
    <col min="1" max="1" width="18.33203125" customWidth="1"/>
    <col min="2" max="2" width="20.44140625" customWidth="1"/>
    <col min="3" max="4" width="8.88671875" customWidth="1"/>
  </cols>
  <sheetData>
    <row r="1" spans="1:4" ht="25.8" x14ac:dyDescent="0.5">
      <c r="A1" s="5" t="s">
        <v>33</v>
      </c>
      <c r="B1" s="5" t="s">
        <v>34</v>
      </c>
    </row>
    <row r="2" spans="1:4" x14ac:dyDescent="0.3">
      <c r="A2" t="s">
        <v>35</v>
      </c>
      <c r="B2" s="6">
        <f>SUM(Retail_Table[Sales])</f>
        <v>28672857.142857134</v>
      </c>
    </row>
    <row r="3" spans="1:4" x14ac:dyDescent="0.3">
      <c r="A3" t="s">
        <v>38</v>
      </c>
      <c r="B3" s="6">
        <f>SUM(Retail_Table[Profit])</f>
        <v>28220357.142857134</v>
      </c>
    </row>
    <row r="4" spans="1:4" x14ac:dyDescent="0.3">
      <c r="A4" t="s">
        <v>37</v>
      </c>
      <c r="B4">
        <f>COUNT(Retail_Table[Order_ID])</f>
        <v>100</v>
      </c>
    </row>
    <row r="5" spans="1:4" x14ac:dyDescent="0.3">
      <c r="A5" t="s">
        <v>36</v>
      </c>
      <c r="B5">
        <f>SUM(Retail_Table[Quantity])</f>
        <v>-307.14285714285694</v>
      </c>
      <c r="D5" s="6"/>
    </row>
    <row r="6" spans="1:4" x14ac:dyDescent="0.3">
      <c r="A6" t="s">
        <v>39</v>
      </c>
      <c r="B6">
        <f>Retail_Table[[#This Row],[Sales]]/Retail_Table[[#This Row],[Order_ID]]</f>
        <v>4.1791044776119399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D7B8-52D6-41F9-9685-33E0FE3FEE78}">
  <dimension ref="A1:B49"/>
  <sheetViews>
    <sheetView workbookViewId="0">
      <selection activeCell="I10" sqref="I10"/>
    </sheetView>
  </sheetViews>
  <sheetFormatPr defaultRowHeight="14.4" x14ac:dyDescent="0.3"/>
  <cols>
    <col min="1" max="1" width="12.5546875" bestFit="1" customWidth="1"/>
    <col min="2" max="2" width="15.6640625" bestFit="1" customWidth="1"/>
    <col min="3" max="4" width="12.109375" bestFit="1" customWidth="1"/>
    <col min="5" max="5" width="13.109375" bestFit="1" customWidth="1"/>
    <col min="6" max="6" width="12.109375" bestFit="1" customWidth="1"/>
    <col min="7" max="104" width="15.5546875" bestFit="1" customWidth="1"/>
    <col min="105" max="105" width="10.6640625" bestFit="1" customWidth="1"/>
    <col min="106" max="106" width="5" bestFit="1" customWidth="1"/>
    <col min="107" max="108" width="6" bestFit="1" customWidth="1"/>
    <col min="109" max="113" width="12" bestFit="1" customWidth="1"/>
    <col min="114" max="114" width="6" bestFit="1" customWidth="1"/>
    <col min="115" max="120" width="12" bestFit="1" customWidth="1"/>
    <col min="121" max="121" width="7" bestFit="1" customWidth="1"/>
    <col min="122" max="127" width="12" bestFit="1" customWidth="1"/>
    <col min="128" max="128" width="7" bestFit="1" customWidth="1"/>
    <col min="129" max="134" width="12" bestFit="1" customWidth="1"/>
    <col min="135" max="135" width="7" bestFit="1" customWidth="1"/>
    <col min="136" max="141" width="12" bestFit="1" customWidth="1"/>
    <col min="142" max="142" width="7" bestFit="1" customWidth="1"/>
    <col min="143" max="148" width="12" bestFit="1" customWidth="1"/>
    <col min="149" max="149" width="7" bestFit="1" customWidth="1"/>
    <col min="150" max="155" width="12" bestFit="1" customWidth="1"/>
    <col min="156" max="156" width="7" bestFit="1" customWidth="1"/>
    <col min="157" max="162" width="12" bestFit="1" customWidth="1"/>
    <col min="163" max="163" width="7" bestFit="1" customWidth="1"/>
    <col min="164" max="169" width="12" bestFit="1" customWidth="1"/>
    <col min="170" max="170" width="7" bestFit="1" customWidth="1"/>
    <col min="171" max="176" width="12" bestFit="1" customWidth="1"/>
    <col min="177" max="177" width="7" bestFit="1" customWidth="1"/>
    <col min="178" max="183" width="12" bestFit="1" customWidth="1"/>
    <col min="184" max="184" width="7" bestFit="1" customWidth="1"/>
    <col min="185" max="190" width="12" bestFit="1" customWidth="1"/>
    <col min="191" max="191" width="7" bestFit="1" customWidth="1"/>
    <col min="192" max="197" width="12" bestFit="1" customWidth="1"/>
    <col min="198" max="198" width="7" bestFit="1" customWidth="1"/>
    <col min="199" max="201" width="12" bestFit="1" customWidth="1"/>
    <col min="202" max="202" width="14.88671875" bestFit="1" customWidth="1"/>
    <col min="203" max="209" width="5" bestFit="1" customWidth="1"/>
    <col min="210" max="215" width="12" bestFit="1" customWidth="1"/>
    <col min="216" max="216" width="5" bestFit="1" customWidth="1"/>
    <col min="217" max="222" width="12" bestFit="1" customWidth="1"/>
    <col min="223" max="223" width="5" bestFit="1" customWidth="1"/>
    <col min="224" max="229" width="12" bestFit="1" customWidth="1"/>
    <col min="230" max="236" width="12.6640625" bestFit="1" customWidth="1"/>
    <col min="237" max="237" width="5" bestFit="1" customWidth="1"/>
    <col min="238" max="243" width="12.6640625" bestFit="1" customWidth="1"/>
    <col min="244" max="244" width="5" bestFit="1" customWidth="1"/>
    <col min="245" max="250" width="12.6640625" bestFit="1" customWidth="1"/>
    <col min="251" max="251" width="5" bestFit="1" customWidth="1"/>
    <col min="252" max="257" width="12.6640625" bestFit="1" customWidth="1"/>
    <col min="258" max="258" width="5" bestFit="1" customWidth="1"/>
    <col min="259" max="264" width="12.6640625" bestFit="1" customWidth="1"/>
    <col min="265" max="265" width="5" bestFit="1" customWidth="1"/>
    <col min="266" max="271" width="12.6640625" bestFit="1" customWidth="1"/>
    <col min="272" max="272" width="5" bestFit="1" customWidth="1"/>
    <col min="273" max="278" width="12.6640625" bestFit="1" customWidth="1"/>
    <col min="279" max="279" width="5" bestFit="1" customWidth="1"/>
    <col min="280" max="285" width="12.6640625" bestFit="1" customWidth="1"/>
    <col min="286" max="286" width="5" bestFit="1" customWidth="1"/>
    <col min="287" max="292" width="12.6640625" bestFit="1" customWidth="1"/>
    <col min="293" max="293" width="5" bestFit="1" customWidth="1"/>
    <col min="294" max="299" width="12.6640625" bestFit="1" customWidth="1"/>
    <col min="300" max="300" width="5" bestFit="1" customWidth="1"/>
    <col min="301" max="301" width="12.6640625" bestFit="1" customWidth="1"/>
    <col min="302" max="302" width="11.109375" bestFit="1" customWidth="1"/>
    <col min="303" max="401" width="5" bestFit="1" customWidth="1"/>
    <col min="402" max="402" width="12.109375" bestFit="1" customWidth="1"/>
    <col min="403" max="403" width="5" bestFit="1" customWidth="1"/>
    <col min="404" max="404" width="6" bestFit="1" customWidth="1"/>
    <col min="405" max="406" width="5" bestFit="1" customWidth="1"/>
    <col min="407" max="408" width="6" bestFit="1" customWidth="1"/>
    <col min="409" max="413" width="12" bestFit="1" customWidth="1"/>
    <col min="414" max="414" width="6" bestFit="1" customWidth="1"/>
    <col min="415" max="420" width="12" bestFit="1" customWidth="1"/>
    <col min="421" max="421" width="7" bestFit="1" customWidth="1"/>
    <col min="422" max="427" width="12" bestFit="1" customWidth="1"/>
    <col min="428" max="428" width="7" bestFit="1" customWidth="1"/>
    <col min="429" max="434" width="12" bestFit="1" customWidth="1"/>
    <col min="435" max="435" width="7" bestFit="1" customWidth="1"/>
    <col min="436" max="441" width="12" bestFit="1" customWidth="1"/>
    <col min="442" max="442" width="7" bestFit="1" customWidth="1"/>
    <col min="443" max="448" width="12" bestFit="1" customWidth="1"/>
    <col min="449" max="449" width="7" bestFit="1" customWidth="1"/>
    <col min="450" max="455" width="12" bestFit="1" customWidth="1"/>
    <col min="456" max="456" width="7" bestFit="1" customWidth="1"/>
    <col min="457" max="462" width="12" bestFit="1" customWidth="1"/>
    <col min="463" max="463" width="7" bestFit="1" customWidth="1"/>
    <col min="464" max="469" width="12" bestFit="1" customWidth="1"/>
    <col min="470" max="470" width="7" bestFit="1" customWidth="1"/>
    <col min="471" max="476" width="12" bestFit="1" customWidth="1"/>
    <col min="477" max="477" width="7" bestFit="1" customWidth="1"/>
    <col min="478" max="483" width="12" bestFit="1" customWidth="1"/>
    <col min="484" max="484" width="7" bestFit="1" customWidth="1"/>
    <col min="485" max="490" width="12" bestFit="1" customWidth="1"/>
    <col min="491" max="491" width="7" bestFit="1" customWidth="1"/>
    <col min="492" max="497" width="12" bestFit="1" customWidth="1"/>
    <col min="498" max="498" width="7" bestFit="1" customWidth="1"/>
    <col min="499" max="501" width="12" bestFit="1" customWidth="1"/>
    <col min="502" max="502" width="19.88671875" bestFit="1" customWidth="1"/>
    <col min="503" max="503" width="16.44140625" bestFit="1" customWidth="1"/>
    <col min="504" max="504" width="19.6640625" bestFit="1" customWidth="1"/>
    <col min="505" max="505" width="15.88671875" bestFit="1" customWidth="1"/>
    <col min="506" max="506" width="16.88671875" bestFit="1" customWidth="1"/>
  </cols>
  <sheetData>
    <row r="1" spans="1:2" x14ac:dyDescent="0.3">
      <c r="A1" s="3" t="s">
        <v>40</v>
      </c>
      <c r="B1" t="s">
        <v>42</v>
      </c>
    </row>
    <row r="2" spans="1:2" x14ac:dyDescent="0.3">
      <c r="A2" s="4" t="s">
        <v>26</v>
      </c>
      <c r="B2" s="6">
        <v>7262449.9999999972</v>
      </c>
    </row>
    <row r="3" spans="1:2" x14ac:dyDescent="0.3">
      <c r="A3" s="4" t="s">
        <v>24</v>
      </c>
      <c r="B3" s="6">
        <v>6939064.2857142827</v>
      </c>
    </row>
    <row r="4" spans="1:2" x14ac:dyDescent="0.3">
      <c r="A4" s="4" t="s">
        <v>25</v>
      </c>
      <c r="B4" s="6">
        <v>7093657.1428571399</v>
      </c>
    </row>
    <row r="5" spans="1:2" x14ac:dyDescent="0.3">
      <c r="A5" s="4" t="s">
        <v>27</v>
      </c>
      <c r="B5" s="6">
        <v>7377685.7142857118</v>
      </c>
    </row>
    <row r="6" spans="1:2" x14ac:dyDescent="0.3">
      <c r="A6" s="4" t="s">
        <v>41</v>
      </c>
      <c r="B6" s="6">
        <v>28672857.142857131</v>
      </c>
    </row>
    <row r="15" spans="1:2" x14ac:dyDescent="0.3">
      <c r="A15" s="3" t="s">
        <v>40</v>
      </c>
      <c r="B15" t="s">
        <v>42</v>
      </c>
    </row>
    <row r="16" spans="1:2" x14ac:dyDescent="0.3">
      <c r="A16" s="4" t="s">
        <v>12</v>
      </c>
      <c r="B16" s="6">
        <v>9238199.9999999981</v>
      </c>
    </row>
    <row r="17" spans="1:2" x14ac:dyDescent="0.3">
      <c r="A17" s="4" t="s">
        <v>14</v>
      </c>
      <c r="B17" s="6">
        <v>9501099.9999999944</v>
      </c>
    </row>
    <row r="18" spans="1:2" x14ac:dyDescent="0.3">
      <c r="A18" s="4" t="s">
        <v>13</v>
      </c>
      <c r="B18" s="6">
        <v>9933557.1428571381</v>
      </c>
    </row>
    <row r="19" spans="1:2" x14ac:dyDescent="0.3">
      <c r="A19" s="4" t="s">
        <v>41</v>
      </c>
      <c r="B19" s="6">
        <v>28672857.142857131</v>
      </c>
    </row>
    <row r="30" spans="1:2" x14ac:dyDescent="0.3">
      <c r="A30" s="3" t="s">
        <v>40</v>
      </c>
      <c r="B30" t="s">
        <v>43</v>
      </c>
    </row>
    <row r="31" spans="1:2" x14ac:dyDescent="0.3">
      <c r="A31" s="4" t="s">
        <v>20</v>
      </c>
      <c r="B31" s="6">
        <v>6828104.2857142827</v>
      </c>
    </row>
    <row r="32" spans="1:2" x14ac:dyDescent="0.3">
      <c r="A32" s="4" t="s">
        <v>21</v>
      </c>
      <c r="B32" s="6">
        <v>6981617.1428571399</v>
      </c>
    </row>
    <row r="33" spans="1:2" x14ac:dyDescent="0.3">
      <c r="A33" s="4" t="s">
        <v>22</v>
      </c>
      <c r="B33" s="6">
        <v>7147969.9999999972</v>
      </c>
    </row>
    <row r="34" spans="1:2" x14ac:dyDescent="0.3">
      <c r="A34" s="4" t="s">
        <v>23</v>
      </c>
      <c r="B34" s="6">
        <v>7262665.7142857118</v>
      </c>
    </row>
    <row r="35" spans="1:2" x14ac:dyDescent="0.3">
      <c r="A35" s="4" t="s">
        <v>41</v>
      </c>
      <c r="B35" s="6">
        <v>28220357.142857131</v>
      </c>
    </row>
    <row r="45" spans="1:2" x14ac:dyDescent="0.3">
      <c r="A45" s="3" t="s">
        <v>40</v>
      </c>
      <c r="B45" t="s">
        <v>42</v>
      </c>
    </row>
    <row r="46" spans="1:2" x14ac:dyDescent="0.3">
      <c r="A46" s="4" t="s">
        <v>31</v>
      </c>
      <c r="B46" s="6">
        <v>6315192.8571428536</v>
      </c>
    </row>
    <row r="47" spans="1:2" x14ac:dyDescent="0.3">
      <c r="A47" s="4" t="s">
        <v>30</v>
      </c>
      <c r="B47" s="6">
        <v>12944057.142857138</v>
      </c>
    </row>
    <row r="48" spans="1:2" x14ac:dyDescent="0.3">
      <c r="A48" s="4" t="s">
        <v>32</v>
      </c>
      <c r="B48" s="6">
        <v>9413607.1428571399</v>
      </c>
    </row>
    <row r="49" spans="1:2" x14ac:dyDescent="0.3">
      <c r="A49" s="4" t="s">
        <v>41</v>
      </c>
      <c r="B49" s="6">
        <v>28672857.142857134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B635-83F1-4FF3-A3E7-43D83F636DA7}">
  <dimension ref="A1:H1"/>
  <sheetViews>
    <sheetView showGridLines="0" tabSelected="1" topLeftCell="A27" zoomScaleNormal="100" workbookViewId="0">
      <selection activeCell="I55" sqref="I55"/>
    </sheetView>
  </sheetViews>
  <sheetFormatPr defaultRowHeight="14.4" x14ac:dyDescent="0.3"/>
  <sheetData>
    <row r="1" spans="1:8" ht="23.4" x14ac:dyDescent="0.3">
      <c r="A1" s="7" t="s">
        <v>44</v>
      </c>
      <c r="B1" s="8"/>
      <c r="C1" s="8"/>
      <c r="D1" s="8"/>
      <c r="E1" s="8"/>
      <c r="F1" s="8"/>
      <c r="G1" s="8"/>
      <c r="H1" s="8"/>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Row_Data</vt:lpstr>
      <vt:lpstr>KPI_Calculation</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2025-12-17T16:33:08Z</dcterms:created>
  <dcterms:modified xsi:type="dcterms:W3CDTF">2025-12-21T07:33:36Z</dcterms:modified>
</cp:coreProperties>
</file>